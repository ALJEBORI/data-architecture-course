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his Week" sheetId="2" state="visible" r:id="rId4"/>
    <sheet name="Setup" sheetId="3" state="visible" r:id="rId5"/>
    <sheet name="Weekly Plan" sheetId="4" state="visible" r:id="rId6"/>
    <sheet name="Resources" sheetId="5" state="visible" r:id="rId7"/>
    <sheet name="Project Overview" sheetId="6" state="visible" r:id="rId8"/>
    <sheet name="Udemy Courses" sheetId="7" state="visible" r:id="rId9"/>
    <sheet name="Practice Exams" sheetId="8" state="visible" r:id="rId10"/>
    <sheet name="Deliverables" sheetId="9" state="visible" r:id="rId11"/>
    <sheet name="Certifications" sheetId="10" state="visible" r:id="rId12"/>
    <sheet name="Application Log"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<sst xmlns="http://schemas.openxmlformats.org/spreadsheetml/2006/main" count="1054" uniqueCount="652">
  <si>
    <t xml:space="preserve">Data Architect Practical Tracker v6 (23 weeks, SnowPro Core added)</t>
  </si>
  <si>
    <t xml:space="preserve">Legend: cells marked EDIT (yellow with blue text) are yours to edit. Everything else is calculated. If you see no colours, your viewer is ignoring formatting: open the file in Excel or Google Sheets.</t>
  </si>
  <si>
    <t xml:space="preserve">Start date (Monday)</t>
  </si>
  <si>
    <t xml:space="preserve">&lt;&lt; EDIT. Example value: change to your real start date (shown as a number if your viewer ignores formats)</t>
  </si>
  <si>
    <t xml:space="preserve">Practice-exam readiness target</t>
  </si>
  <si>
    <t xml:space="preserve">&lt;&lt; EDIT. Assumption: a self-set target (0.8 = 80%), not an official passing score. Check each vendor's passing score.</t>
  </si>
  <si>
    <t xml:space="preserve">Overall progress</t>
  </si>
  <si>
    <t xml:space="preserve">Weeks done</t>
  </si>
  <si>
    <t xml:space="preserve">Total weeks</t>
  </si>
  <si>
    <t xml:space="preserve">% of weeks complete</t>
  </si>
  <si>
    <t xml:space="preserve">Planned study hours</t>
  </si>
  <si>
    <t xml:space="preserve">Planned project hours</t>
  </si>
  <si>
    <t xml:space="preserve">Practical share of planned hours</t>
  </si>
  <si>
    <t xml:space="preserve">Actual hours logged</t>
  </si>
  <si>
    <t xml:space="preserve">Planned end date</t>
  </si>
  <si>
    <t xml:space="preserve">Deliverables done</t>
  </si>
  <si>
    <t xml:space="preserve">Udemy courses finished</t>
  </si>
  <si>
    <t xml:space="preserve">Certifications passed</t>
  </si>
  <si>
    <t xml:space="preserve">Applications sent</t>
  </si>
  <si>
    <t xml:space="preserve">Setup tasks done</t>
  </si>
  <si>
    <t xml:space="preserve">Progress by phase</t>
  </si>
  <si>
    <t xml:space="preserve">Phase</t>
  </si>
  <si>
    <t xml:space="preserve">% complete</t>
  </si>
  <si>
    <t xml:space="preserve">1 Data Modeling</t>
  </si>
  <si>
    <t xml:space="preserve">2 SnowPro Core</t>
  </si>
  <si>
    <t xml:space="preserve">3 SnowPro Architect</t>
  </si>
  <si>
    <t xml:space="preserve">4 GCP Data Engineer</t>
  </si>
  <si>
    <t xml:space="preserve">5 Governance &amp; CDMP</t>
  </si>
  <si>
    <t xml:space="preserve">6 Portfolio &amp; Job Search</t>
  </si>
  <si>
    <t xml:space="preserve">Exam readiness (from Practice Exams sheet)</t>
  </si>
  <si>
    <t xml:space="preserve">Exam</t>
  </si>
  <si>
    <t xml:space="preserve">Attempts</t>
  </si>
  <si>
    <t xml:space="preserve">Best score</t>
  </si>
  <si>
    <t xml:space="preserve">Readiness</t>
  </si>
  <si>
    <t xml:space="preserve">SnowPro Core</t>
  </si>
  <si>
    <t xml:space="preserve">SnowPro Advanced: Architect</t>
  </si>
  <si>
    <t xml:space="preserve">Google Professional Data Engineer</t>
  </si>
  <si>
    <t xml:space="preserve">CDMP Data Management Fundamentals</t>
  </si>
  <si>
    <t xml:space="preserve">Udemy is support, not the backbone: keep the project hours. Study hours include Udemy video time. Raise them if an exam feels shaky.</t>
  </si>
  <si>
    <t xml:space="preserve">Check every link, exam code and price on the vendor page before relying on it.</t>
  </si>
  <si>
    <t xml:space="preserve">This week only: ignore everything else</t>
  </si>
  <si>
    <t xml:space="preserve">Week by today's date</t>
  </si>
  <si>
    <t xml:space="preserve">Override week (optional, type 1 to 23)</t>
  </si>
  <si>
    <t xml:space="preserve">&lt;&lt; EDIT (optional). Leave empty to follow the calendar. Before your start date it shows week 1.</t>
  </si>
  <si>
    <t xml:space="preserve">Week shown</t>
  </si>
  <si>
    <t xml:space="preserve">Week starts</t>
  </si>
  <si>
    <t xml:space="preserve">Learn: topic</t>
  </si>
  <si>
    <t xml:space="preserve">Learn: main resource</t>
  </si>
  <si>
    <t xml:space="preserve">Udemy support</t>
  </si>
  <si>
    <t xml:space="preserve">Build: milestone</t>
  </si>
  <si>
    <t xml:space="preserve">Action this week</t>
  </si>
  <si>
    <t xml:space="preserve">Done when</t>
  </si>
  <si>
    <t xml:space="preserve">Deliverables (IDs)</t>
  </si>
  <si>
    <t xml:space="preserve">Status (update on Weekly Plan)</t>
  </si>
  <si>
    <t xml:space="preserve">Link</t>
  </si>
  <si>
    <t xml:space="preserve">Resource 2</t>
  </si>
  <si>
    <t xml:space="preserve">Resource 3 / book</t>
  </si>
  <si>
    <t xml:space="preserve">Your 10-hour rhythm</t>
  </si>
  <si>
    <t xml:space="preserve">Day</t>
  </si>
  <si>
    <t xml:space="preserve">Task</t>
  </si>
  <si>
    <t xml:space="preserve">Hours</t>
  </si>
  <si>
    <t xml:space="preserve">Monday</t>
  </si>
  <si>
    <t xml:space="preserve">Tuesday</t>
  </si>
  <si>
    <t xml:space="preserve">Wednesday</t>
  </si>
  <si>
    <t xml:space="preserve">Build: start the milestone above</t>
  </si>
  <si>
    <t xml:space="preserve">Thursday</t>
  </si>
  <si>
    <t xml:space="preserve">Build: continue the milestone above</t>
  </si>
  <si>
    <t xml:space="preserve">Saturday</t>
  </si>
  <si>
    <t xml:space="preserve">Build (main block): finish the milestone and commit the deliverable</t>
  </si>
  <si>
    <t xml:space="preserve">Sunday</t>
  </si>
  <si>
    <t xml:space="preserve">Update the tracker, plan next week</t>
  </si>
  <si>
    <t xml:space="preserve">Total rhythm hours</t>
  </si>
  <si>
    <t xml:space="preserve">Planned this week (study + project)</t>
  </si>
  <si>
    <t xml:space="preserve">If you fall behind</t>
  </si>
  <si>
    <t xml:space="preserve">1. Shrink the week, not the plan: do the Build part and skip optional learning.</t>
  </si>
  <si>
    <t xml:space="preserve">2. Protect three things: exam dates, ADRs, the finished README.</t>
  </si>
  <si>
    <t xml:space="preserve">3. Cut first: optional Udemy courses, the streaming slice, Iceberg, the Airflow DAG.</t>
  </si>
  <si>
    <t xml:space="preserve">4. Change the plan only on Sunday, never mid-week.</t>
  </si>
  <si>
    <t xml:space="preserve">#</t>
  </si>
  <si>
    <t xml:space="preserve">Do before week 1</t>
  </si>
  <si>
    <t xml:space="preserve">Status [EDIT]</t>
  </si>
  <si>
    <t xml:space="preserve">Notes (you fill) [EDIT]</t>
  </si>
  <si>
    <t xml:space="preserve">Read the SnowPro Core (COF-C03) official page and note the exam code, price, passing score and rules. Core is required before the Architect exam and is now weeks 4 to 6 of the plan</t>
  </si>
  <si>
    <t xml:space="preserve">https://learn.snowflake.com/en/certifications/snowpro-core-c03</t>
  </si>
  <si>
    <t xml:space="preserve">Not started</t>
  </si>
  <si>
    <t xml:space="preserve">Compare your hands-on Snowflake experience with Snowflake's recommendation of 2+ years in an architect-level role; if you are short, plan extra practice and project time</t>
  </si>
  <si>
    <t xml:space="preserve">Create a GitHub repo called orderflow</t>
  </si>
  <si>
    <t xml:space="preserve">https://github.com</t>
  </si>
  <si>
    <t xml:space="preserve">Set your real start date on the Dashboard</t>
  </si>
  <si>
    <t xml:space="preserve">Install Python 3 and a code editor</t>
  </si>
  <si>
    <t xml:space="preserve">https://www.python.org/downloads/</t>
  </si>
  <si>
    <t xml:space="preserve">Install Docker (check licensing rules at your company)</t>
  </si>
  <si>
    <t xml:space="preserve">https://docs.docker.com/get-docker/</t>
  </si>
  <si>
    <t xml:space="preserve">Open a Snowflake trial when week 4 is close (trial credits are time-limited)</t>
  </si>
  <si>
    <t xml:space="preserve">https://signup.snowflake.com</t>
  </si>
  <si>
    <t xml:space="preserve">Open a GCP free-tier account when week 10 is close and set a budget alert</t>
  </si>
  <si>
    <t xml:space="preserve">https://cloud.google.com/free</t>
  </si>
  <si>
    <t xml:space="preserve">Check you can log in to Udemy through your company</t>
  </si>
  <si>
    <t xml:space="preserve">Ask your manager if the company pays for exam vouchers or a training budget</t>
  </si>
  <si>
    <t xml:space="preserve">Week</t>
  </si>
  <si>
    <t xml:space="preserve">Study focus (learn)</t>
  </si>
  <si>
    <t xml:space="preserve">Resource 1 (main)</t>
  </si>
  <si>
    <t xml:space="preserve">Link 1</t>
  </si>
  <si>
    <t xml:space="preserve">Project milestone (build)</t>
  </si>
  <si>
    <t xml:space="preserve">Deliverables</t>
  </si>
  <si>
    <t xml:space="preserve">Study hrs [EDIT]</t>
  </si>
  <si>
    <t xml:space="preserve">Project hrs [EDIT]</t>
  </si>
  <si>
    <t xml:space="preserve">Actual hrs [EDIT]</t>
  </si>
  <si>
    <t xml:space="preserve">Notes [EDIT]</t>
  </si>
  <si>
    <t xml:space="preserve">Link 2</t>
  </si>
  <si>
    <t xml:space="preserve">Link 3</t>
  </si>
  <si>
    <t xml:space="preserve">Dimensional modeling: grain, facts, dimensions, conformed dimensions, bus matrix</t>
  </si>
  <si>
    <t xml:space="preserve">Coginiti: Dimensional Modeling and the Star Schema (guide)</t>
  </si>
  <si>
    <t xml:space="preserve">https://coginiti.co/learning/data-modeling/dimensional-modeling-star-schema/</t>
  </si>
  <si>
    <t xml:space="preserve">OPTIONAL: search 'dimensional modeling Kimball'; watch only the facts, dimensions, grain and bus-matrix sections</t>
  </si>
  <si>
    <t xml:space="preserve">Create the GitHub repo (folders: docs/, adr/, ingestion/, dbt/, infra/, mcp/). Write the business scenario, requirements and source inventory. Draw the bus matrix for order-to-cash.</t>
  </si>
  <si>
    <t xml:space="preserve">README and bus matrix are committed</t>
  </si>
  <si>
    <t xml:space="preserve">D01, D02</t>
  </si>
  <si>
    <t xml:space="preserve">Microsoft Learn: Understand star schema</t>
  </si>
  <si>
    <t xml:space="preserve">https://learn.microsoft.com/power-bi/guidance/star-schema</t>
  </si>
  <si>
    <t xml:space="preserve">Book: The Data Warehouse Toolkit (Kimball and Ross), ch. 1-3 (borrow)</t>
  </si>
  <si>
    <t xml:space="preserve">Slowly changing dimensions, bridge tables, dbt snapshots</t>
  </si>
  <si>
    <t xml:space="preserve">dbt Fundamentals (dbt Labs, free, about 5 h)</t>
  </si>
  <si>
    <t xml:space="preserve">https://learn.getdbt.com</t>
  </si>
  <si>
    <t xml:space="preserve">OPTIONAL: only if dbt snapshots or SCD feel rusty</t>
  </si>
  <si>
    <t xml:space="preserve">Write a Python generator for synthetic EDI/API data (customers, products, orders/850, shipments/856, invoices/810, payments) with injected changes and bad records. Start the dbt project with an SCD2 customer snapshot.</t>
  </si>
  <si>
    <t xml:space="preserve">Script runs; snapshot shows history rows</t>
  </si>
  <si>
    <t xml:space="preserve">D03, D04</t>
  </si>
  <si>
    <t xml:space="preserve">dbt docs: Snapshots (SCD2)</t>
  </si>
  <si>
    <t xml:space="preserve">https://docs.getdbt.com/docs/build/snapshots</t>
  </si>
  <si>
    <t xml:space="preserve">Kimball techniques page (checklist for SCD types)</t>
  </si>
  <si>
    <t xml:space="preserve">https://www.kimballgroup.com/data-warehouse-business-intelligence-resources/kimball-techniques/dimensional-modeling-techniques/</t>
  </si>
  <si>
    <t xml:space="preserve">Data Vault 2.0, medallion layering, Kimball vs Data Vault vs OBT</t>
  </si>
  <si>
    <t xml:space="preserve">Data Vault 2.0: hubs, links, satellites (DEV Community)</t>
  </si>
  <si>
    <t xml:space="preserve">https://dev.to/gowthampotureddi/data-vault-2-0-for-data-engineering-hubs-links-satellites-hash-keys-automation-4bah</t>
  </si>
  <si>
    <t xml:space="preserve">OPTIONAL: search 'Data Vault 2.0'</t>
  </si>
  <si>
    <t xml:space="preserve">Draw the full order-to-cash logical model. Sketch the Data Vault alternative for core entities. Write ADR-001 explaining your choice per layer.</t>
  </si>
  <si>
    <t xml:space="preserve">BOOK the SnowPro Core exam (COF-C03) for the Friday of week 6. Check the current code, price and rules on Snowflake's page first</t>
  </si>
  <si>
    <t xml:space="preserve">Diagram and ADR-001 are committed</t>
  </si>
  <si>
    <t xml:space="preserve">D05, D06</t>
  </si>
  <si>
    <t xml:space="preserve">AutomateDV worked example: Data Vault on Snowflake TPC-H</t>
  </si>
  <si>
    <t xml:space="preserve">https://automate-dv.readthedocs.io/en/latest/worked_example/</t>
  </si>
  <si>
    <t xml:space="preserve">ADR templates</t>
  </si>
  <si>
    <t xml:space="preserve">https://adr.github.io</t>
  </si>
  <si>
    <t xml:space="preserve">Core domains: Snowflake architecture and key concepts, accounts and virtual warehouses, data loading and unloading</t>
  </si>
  <si>
    <t xml:space="preserve">Snowflake SnowPro Core (COF-C03) official exam page: read the domains first</t>
  </si>
  <si>
    <t xml:space="preserve">CORE: one SnowPro Core prep course that covers COF-C03. Many older courses cover the retired COF-C02, so check the course says COF-C03 and its update date</t>
  </si>
  <si>
    <t xml:space="preserve">Set up the Snowflake trial: RAW, STG, CORE, MART databases/schemas. Load the generated files through a stage and COPY INTO. Write ADR-002 on environment and account strategy.</t>
  </si>
  <si>
    <t xml:space="preserve">Scripts rerun from scratch; ADR-002 written</t>
  </si>
  <si>
    <t xml:space="preserve">D07, D08</t>
  </si>
  <si>
    <t xml:space="preserve">Snowflake documentation: key concepts, architecture, virtual warehouses, loading</t>
  </si>
  <si>
    <t xml:space="preserve">https://docs.snowflake.com</t>
  </si>
  <si>
    <t xml:space="preserve">Hands-On Essentials: Data Warehousing workshop (free refresher on the basics)</t>
  </si>
  <si>
    <t xml:space="preserve">https://learn.snowflake.com/en/pages/hands-on-essentials-track</t>
  </si>
  <si>
    <t xml:space="preserve">Core domains: account access and security (RBAC, masking), structured and semi-structured data, transformations</t>
  </si>
  <si>
    <t xml:space="preserve">Snowflake docs: access control and column-level security</t>
  </si>
  <si>
    <t xml:space="preserve">https://docs.snowflake.com/en/user-guide/security-column-intro</t>
  </si>
  <si>
    <t xml:space="preserve">CORE: same course, account access, security and semi-structured data sections</t>
  </si>
  <si>
    <t xml:space="preserve">Implement the role hierarchy as SQL scripts. Mask PII (email, phone) and restrict rows by region. Test with at least 3 roles and save the test queries and results.</t>
  </si>
  <si>
    <t xml:space="preserve">Test queries show different roles see different data</t>
  </si>
  <si>
    <t xml:space="preserve">D09</t>
  </si>
  <si>
    <t xml:space="preserve">Snowflake documentation: semi-structured data and transformations</t>
  </si>
  <si>
    <t xml:space="preserve">Core exam page: re-read the objectives for security and data protection</t>
  </si>
  <si>
    <t xml:space="preserve">Core domains: performance monitoring and optimization, Time Travel and cloning, data collaboration (sharing, Marketplace), connectivity. Practice exams, then take the Core exam</t>
  </si>
  <si>
    <t xml:space="preserve">Udemy: SnowPro Core COF-C03 practice exams x2 (pick one, see the Udemy Courses sheet)</t>
  </si>
  <si>
    <t xml:space="preserve">CORE: take 2 full practice exams early in the week (allow about 2 h each), log scores, review every wrong answer, then sit the Core exam on Friday</t>
  </si>
  <si>
    <t xml:space="preserve">Create a secure share for a fictional partner (a reduced mart, no PII).</t>
  </si>
  <si>
    <t xml:space="preserve">EXAM DAY (Friday): SnowPro Core</t>
  </si>
  <si>
    <t xml:space="preserve">Core exam passed; secure share works</t>
  </si>
  <si>
    <t xml:space="preserve">D10</t>
  </si>
  <si>
    <t xml:space="preserve">Core exam page: check passing score, price and rules before booking</t>
  </si>
  <si>
    <t xml:space="preserve">Snowflake documentation: Time Travel, cloning, sharing, performance monitoring</t>
  </si>
  <si>
    <t xml:space="preserve">Architect domains: account and organization design, multi-account strategy, editions, regions</t>
  </si>
  <si>
    <t xml:space="preserve">Snowflake SnowPro Advanced Architect (ARA-C01) study guide</t>
  </si>
  <si>
    <t xml:space="preserve">https://learn.snowflake.com/courses/course-v1:snowflake+SPSG-ARA+A/about</t>
  </si>
  <si>
    <t xml:space="preserve">CORE: SnowPro Advanced Architect prep course, account/organization sections</t>
  </si>
  <si>
    <t xml:space="preserve">Build dbt bronze/silver/gold models with tests on Snowflake.</t>
  </si>
  <si>
    <t xml:space="preserve">BOOK the SnowPro Advanced: Architect exam for the Friday of week 12 (it needs an active SnowPro Core)</t>
  </si>
  <si>
    <t xml:space="preserve">dbt build passes on Snowflake</t>
  </si>
  <si>
    <t xml:space="preserve">D11</t>
  </si>
  <si>
    <t xml:space="preserve">Snowflake documentation: organizations and accounts</t>
  </si>
  <si>
    <t xml:space="preserve">Book: SnowPro Advanced Architect Certification Companion (R. Soni)</t>
  </si>
  <si>
    <t xml:space="preserve">https://www.oreilly.com/library/view/-/9781484292624/</t>
  </si>
  <si>
    <t xml:space="preserve">Architect domains: security architecture at scale (RBAC design, network policies, tag-based masking, SSO/SCIM)</t>
  </si>
  <si>
    <t xml:space="preserve">Snowflake docs: column-level security and masking</t>
  </si>
  <si>
    <t xml:space="preserve">CORE: same course, security and governance sections</t>
  </si>
  <si>
    <t xml:space="preserve">Extend the security setup: add a network policy and tag-based masking on classified columns, and write a short SSO/SCIM design (no real identity provider needed).</t>
  </si>
  <si>
    <t xml:space="preserve">Network policy and tag-based masking tested; SSO/SCIM note written</t>
  </si>
  <si>
    <t xml:space="preserve">D29</t>
  </si>
  <si>
    <t xml:space="preserve">Snowflake documentation: RBAC and access control</t>
  </si>
  <si>
    <t xml:space="preserve">Study guide: accounts and security domain</t>
  </si>
  <si>
    <t xml:space="preserve">Architect domains: data sharing, replication, failover, business continuity, listings, clean rooms</t>
  </si>
  <si>
    <t xml:space="preserve">Snowflake Quickstarts: data sharing and replication</t>
  </si>
  <si>
    <t xml:space="preserve">https://quickstarts.snowflake.com</t>
  </si>
  <si>
    <t xml:space="preserve">CORE: same course, sharing, replication and continuity sections</t>
  </si>
  <si>
    <t xml:space="preserve">Write the replication and failover design note for the platform (RPO/RTO, accounts, regions).</t>
  </si>
  <si>
    <t xml:space="preserve">Failover note committed</t>
  </si>
  <si>
    <t xml:space="preserve">D30</t>
  </si>
  <si>
    <t xml:space="preserve">Hands-On Essentials: Collab, Marketplace and Cost Estimation (free, beginner level)</t>
  </si>
  <si>
    <t xml:space="preserve">Snowflake documentation: replication and failover</t>
  </si>
  <si>
    <t xml:space="preserve">Architect domains: performance and cost (micro-partitions, clustering, search optimization, warehouse sizing, resource monitors)</t>
  </si>
  <si>
    <t xml:space="preserve">Snowflake documentation: performance and cost</t>
  </si>
  <si>
    <t xml:space="preserve">CORE: same course, performance and cost sections</t>
  </si>
  <si>
    <t xml:space="preserve">Run clustering and warehouse-size experiments on larger data (e.g. the TPC-H sample) and write a short cost and performance report with query-profile screenshots.</t>
  </si>
  <si>
    <t xml:space="preserve">Report has real numbers</t>
  </si>
  <si>
    <t xml:space="preserve">D12</t>
  </si>
  <si>
    <t xml:space="preserve">Snowflake sample data (TPC-H) for your experiments</t>
  </si>
  <si>
    <t xml:space="preserve">https://docs.snowflake.com/en/user-guide/sample-data</t>
  </si>
  <si>
    <t xml:space="preserve">AutomateDV worked example (optional second model)</t>
  </si>
  <si>
    <t xml:space="preserve">Architect domains: Streams, Tasks, Dynamic Tables, Snowpipe, Iceberg</t>
  </si>
  <si>
    <t xml:space="preserve">Snowflake docs: Dynamic Tables</t>
  </si>
  <si>
    <t xml:space="preserve">https://docs.snowflake.com/en/user-guide/dynamic-tables-about</t>
  </si>
  <si>
    <t xml:space="preserve">CORE: same course, data engineering sections (Streams, Tasks, Dynamic Tables)</t>
  </si>
  <si>
    <t xml:space="preserve">Add an incremental pipeline with Streams + Tasks or Dynamic Tables. Document when you would choose each. Stretch goal: one Iceberg table.</t>
  </si>
  <si>
    <t xml:space="preserve">New data flows without a full reload</t>
  </si>
  <si>
    <t xml:space="preserve">D13</t>
  </si>
  <si>
    <t xml:space="preserve">Hands-On Essentials: Data Engineering workshop (free, beginner level)</t>
  </si>
  <si>
    <t xml:space="preserve">Apache Iceberg docs (stretch goal)</t>
  </si>
  <si>
    <t xml:space="preserve">https://iceberg.apache.org/docs/latest/</t>
  </si>
  <si>
    <t xml:space="preserve">Review week: scenario questions and weak areas, then take the SnowPro Advanced: Architect exam</t>
  </si>
  <si>
    <t xml:space="preserve">Udemy: SnowPro Architect practice exams x2 (your pick)</t>
  </si>
  <si>
    <t xml:space="preserve">CORE: take 2 SnowPro Architect practice exams early in the week (allow about 2 h each), log scores, review every wrong answer, then sit the exam</t>
  </si>
  <si>
    <t xml:space="preserve">Draw architecture diagram v1 (Snowflake side). Reuse your ADRs as exam scenario practice.</t>
  </si>
  <si>
    <t xml:space="preserve">EXAM DAY (Friday): SnowPro Advanced: Architect</t>
  </si>
  <si>
    <t xml:space="preserve">Exam passed (check the vendor's passing score); diagram v1 committed</t>
  </si>
  <si>
    <t xml:space="preserve">D14</t>
  </si>
  <si>
    <t xml:space="preserve">Study guide: domains and weights</t>
  </si>
  <si>
    <t xml:space="preserve">Snowflake certification page (check passing score and rules)</t>
  </si>
  <si>
    <t xml:space="preserve">https://learn.snowflake.com</t>
  </si>
  <si>
    <t xml:space="preserve">Exam guide gap analysis, BigQuery design: partitioning, clustering, slots, authorized views</t>
  </si>
  <si>
    <t xml:space="preserve">Google Skills: Professional Data Engineer learning path (free 30 days for new users: start now, finish by week 13)</t>
  </si>
  <si>
    <t xml:space="preserve">https://www.skills.google/paths/16</t>
  </si>
  <si>
    <t xml:space="preserve">CORE: Professional Data Engineer prep course, BigQuery and design sections</t>
  </si>
  <si>
    <t xml:space="preserve">Create the GCP project with a budget alert. Load a subset of the data to BigQuery via Cloud Storage. Design partitioning and clustering for the fact tables. START APPLYING to jobs from this week.</t>
  </si>
  <si>
    <t xml:space="preserve">BOOK the Professional Data Engineer exam for the Friday of week 17. START APPLYING to jobs</t>
  </si>
  <si>
    <t xml:space="preserve">Tables created; design explained; budget alert set; exam booked</t>
  </si>
  <si>
    <t xml:space="preserve">D15</t>
  </si>
  <si>
    <t xml:space="preserve">Google guide: preparing for the Professional Data Engineer exam</t>
  </si>
  <si>
    <t xml:space="preserve">https://discuss.google.dev/t/your-guide-to-preparing-for-the-google-cloud-professional-data-engineer-certification/107505</t>
  </si>
  <si>
    <t xml:space="preserve">Official exam guide (your checklist)</t>
  </si>
  <si>
    <t xml:space="preserve">https://cloud.google.com/learn/certification/data-engineer</t>
  </si>
  <si>
    <t xml:space="preserve">Pub/Sub, Dataflow (windows, triggers, watermarks), Dataproc</t>
  </si>
  <si>
    <t xml:space="preserve">Google Skills path: continue with the pipeline, Dataflow and Pub/Sub courses</t>
  </si>
  <si>
    <t xml:space="preserve">CORE: same course, Pub/Sub and Dataflow sections</t>
  </si>
  <si>
    <t xml:space="preserve">Build a small streaming slice: order events published to Pub/Sub and landed in BigQuery (BigQuery subscription or a small Dataflow template). Delete resources when done.</t>
  </si>
  <si>
    <t xml:space="preserve">Events arrive in BigQuery; resources deleted</t>
  </si>
  <si>
    <t xml:space="preserve">D16</t>
  </si>
  <si>
    <t xml:space="preserve">Pub/Sub documentation</t>
  </si>
  <si>
    <t xml:space="preserve">https://cloud.google.com/pubsub/docs</t>
  </si>
  <si>
    <t xml:space="preserve">Dataflow documentation</t>
  </si>
  <si>
    <t xml:space="preserve">https://cloud.google.com/dataflow/docs</t>
  </si>
  <si>
    <t xml:space="preserve">Orchestration and storage choices: Composer, Bigtable, Spanner, GCS classes</t>
  </si>
  <si>
    <t xml:space="preserve">Google Skills path: continue with orchestration and storage courses</t>
  </si>
  <si>
    <t xml:space="preserve">CORE: same course, orchestration and storage sections. OPTIONAL: an Airflow course</t>
  </si>
  <si>
    <t xml:space="preserve">Run Airflow locally in Docker and write a DAG that triggers ingestion and dbt. Write a storage-choice matrix (latency, scale, consistency, cost). Composer is paid, so cover it on paper.</t>
  </si>
  <si>
    <t xml:space="preserve">DAG runs locally; storage-choice table written</t>
  </si>
  <si>
    <t xml:space="preserve">D17</t>
  </si>
  <si>
    <t xml:space="preserve">Apache Airflow documentation</t>
  </si>
  <si>
    <t xml:space="preserve">https://airflow.apache.org/docs/</t>
  </si>
  <si>
    <t xml:space="preserve">Book: Professional Data Engineer Study Guide (O'Reilly, recommended by Google)</t>
  </si>
  <si>
    <t xml:space="preserve">IAM, VPC Service Controls, CMEK, DLP, Dataplex</t>
  </si>
  <si>
    <t xml:space="preserve">Google Skills path: finish with security and governance courses</t>
  </si>
  <si>
    <t xml:space="preserve">Apply least-privilege IAM to the project. Run a DLP inspection on the PII sample. Write a short GCP security and governance note.</t>
  </si>
  <si>
    <t xml:space="preserve">Security note committed</t>
  </si>
  <si>
    <t xml:space="preserve">D18</t>
  </si>
  <si>
    <t xml:space="preserve">Dataplex documentation</t>
  </si>
  <si>
    <t xml:space="preserve">https://cloud.google.com/dataplex/docs</t>
  </si>
  <si>
    <t xml:space="preserve">Sensitive Data Protection (DLP) documentation</t>
  </si>
  <si>
    <t xml:space="preserve">https://cloud.google.com/sensitive-data-protection/docs</t>
  </si>
  <si>
    <t xml:space="preserve">Review week: practice questions, weak topics, then take the Professional Data Engineer exam</t>
  </si>
  <si>
    <t xml:space="preserve">Udemy: Professional Data Engineer practice exams x2 (your pick)</t>
  </si>
  <si>
    <t xml:space="preserve">CORE: take 2 Professional Data Engineer practice exams early in the week, log scores, review every wrong answer, then sit the exam</t>
  </si>
  <si>
    <t xml:space="preserve">Write ADR-004: Snowflake vs BigQuery for this platform, with a cost comparison for 3 workloads.</t>
  </si>
  <si>
    <t xml:space="preserve">EXAM DAY (Friday): Google Professional Data Engineer</t>
  </si>
  <si>
    <t xml:space="preserve">Exam passed; ADR-004 written</t>
  </si>
  <si>
    <t xml:space="preserve">D19</t>
  </si>
  <si>
    <t xml:space="preserve">Official exam guide</t>
  </si>
  <si>
    <t xml:space="preserve">BigQuery documentation (for ADR-004)</t>
  </si>
  <si>
    <t xml:space="preserve">https://cloud.google.com/bigquery/docs</t>
  </si>
  <si>
    <t xml:space="preserve">Data governance, quality, metadata, lineage</t>
  </si>
  <si>
    <t xml:space="preserve">dbt docs: Data tests</t>
  </si>
  <si>
    <t xml:space="preserve">https://docs.getdbt.com/docs/build/data-tests</t>
  </si>
  <si>
    <t xml:space="preserve">OPTIONAL: data governance or data quality course</t>
  </si>
  <si>
    <t xml:space="preserve">Add dbt data-quality tests and freshness checks. Stand up lineage and a catalog locally (OpenMetadata or Marquez/OpenLineage in Docker) and capture lineage for one pipeline.</t>
  </si>
  <si>
    <t xml:space="preserve">BOOK the CDMP exam for the Friday of week 21</t>
  </si>
  <si>
    <t xml:space="preserve">Quality tests added; lineage screenshot for one pipeline; exam booked</t>
  </si>
  <si>
    <t xml:space="preserve">D20</t>
  </si>
  <si>
    <t xml:space="preserve">OpenMetadata documentation (local catalog and lineage)</t>
  </si>
  <si>
    <t xml:space="preserve">https://docs.open-metadata.org</t>
  </si>
  <si>
    <t xml:space="preserve">OpenLineage</t>
  </si>
  <si>
    <t xml:space="preserve">https://openlineage.io</t>
  </si>
  <si>
    <t xml:space="preserve">MDM, reference data, integration and interoperability (map Talend/Lobster to DMBOK)</t>
  </si>
  <si>
    <t xml:space="preserve">DAMA: DMBOK knowledge areas</t>
  </si>
  <si>
    <t xml:space="preserve">https://www.dama.org</t>
  </si>
  <si>
    <t xml:space="preserve">CORE: the CDMP summary-notes course named in Resource 2 (check update date and reviews). OPTIONAL: master data management course</t>
  </si>
  <si>
    <t xml:space="preserve">Build a customer golden record: match/merge rules in SQL/Python, survivorship logic, and a reference-data table. Document the rules.</t>
  </si>
  <si>
    <t xml:space="preserve">Match/merge rules documented and tested</t>
  </si>
  <si>
    <t xml:space="preserve">D21</t>
  </si>
  <si>
    <t xml:space="preserve">Udemy: Do-It-Yourself CDMP Exam Preparation, DMBOKv2 summary notes (check date and reviews)</t>
  </si>
  <si>
    <t xml:space="preserve">https://www.udemy.com/course/do-it-yourself-cdmp-exam-preparation-dmbokv2-summary-notes/</t>
  </si>
  <si>
    <t xml:space="preserve">CDMP exam information</t>
  </si>
  <si>
    <t xml:space="preserve">https://cdmp.info</t>
  </si>
  <si>
    <t xml:space="preserve">Data architecture, privacy, GDPR, data mesh vs data fabric</t>
  </si>
  <si>
    <t xml:space="preserve">Anthropic Academy: Introduction to Model Context Protocol (free)</t>
  </si>
  <si>
    <t xml:space="preserve">https://anthropic.skilljar.com/introduction-to-model-context-protocol/296690</t>
  </si>
  <si>
    <t xml:space="preserve">OPTIONAL: GDPR for data professionals (the MCP courses are free, see Resources 1 and 2)</t>
  </si>
  <si>
    <t xml:space="preserve">Build the MCP server: expose 3 to 5 governed views, the data dictionary and lineage lookup to an AI agent, with role-based access. Test it with Claude Desktop.</t>
  </si>
  <si>
    <t xml:space="preserve">MCP server works with an AI agent and respects roles</t>
  </si>
  <si>
    <t xml:space="preserve">D22</t>
  </si>
  <si>
    <t xml:space="preserve">DeepLearning.AI: MCP: Build Rich-Context AI Apps with Anthropic (about 1 h 40; check it is still free)</t>
  </si>
  <si>
    <t xml:space="preserve">https://learn.deeplearning.ai/courses/mcp-build-rich-context-ai-apps-with-anthropic/information</t>
  </si>
  <si>
    <t xml:space="preserve">MCP documentation</t>
  </si>
  <si>
    <t xml:space="preserve">https://modelcontextprotocol.io</t>
  </si>
  <si>
    <t xml:space="preserve">CDMP Fundamentals practice questions, then take the exam</t>
  </si>
  <si>
    <t xml:space="preserve">Udemy: CDMP Data Management Exam Prep, 800 practice questions (check date and reviews)</t>
  </si>
  <si>
    <t xml:space="preserve">https://www.udemy.com/course/cdmp-data-management-exam-prep-800-practice-questions/</t>
  </si>
  <si>
    <t xml:space="preserve">CORE: the 800 practice-questions course named in Resource 1; log every score on the Practice Exams sheet, then sit the exam</t>
  </si>
  <si>
    <t xml:space="preserve">Write the governance and GDPR design: data classification, retention, right-to-erasure approach, data ownership.</t>
  </si>
  <si>
    <t xml:space="preserve">EXAM DAY (Friday): CDMP Fundamentals</t>
  </si>
  <si>
    <t xml:space="preserve">Exam passed; governance and GDPR design written</t>
  </si>
  <si>
    <t xml:space="preserve">D23</t>
  </si>
  <si>
    <t xml:space="preserve">The DMBOK book is the real source: borrow it or ask your employer</t>
  </si>
  <si>
    <t xml:space="preserve">Architecture communication: C4 model, diagrams for business vs technical audiences</t>
  </si>
  <si>
    <t xml:space="preserve">The C4 model</t>
  </si>
  <si>
    <t xml:space="preserve">https://c4model.com</t>
  </si>
  <si>
    <t xml:space="preserve">OPTIONAL: software architecture / C4 model course</t>
  </si>
  <si>
    <t xml:space="preserve">Polish the portfolio: final C4 diagrams, README, runbook, cost analysis, and a 5 to 10 minute demo video.</t>
  </si>
  <si>
    <t xml:space="preserve">A stranger can run the project from the README; demo video recorded</t>
  </si>
  <si>
    <t xml:space="preserve">D24, D25, D26</t>
  </si>
  <si>
    <t xml:space="preserve">Interview preparation: system-design questions, trade-off storytelling</t>
  </si>
  <si>
    <t xml:space="preserve">ADR templates and your own ADRs (use them as interview stories)</t>
  </si>
  <si>
    <t xml:space="preserve">OPTIONAL: system design interview course</t>
  </si>
  <si>
    <t xml:space="preserve">Rewrite your CV for architect roles, publish a LinkedIn write-up, and run 3 mock architecture interviews (use your ADRs as stories).</t>
  </si>
  <si>
    <t xml:space="preserve">CV rewritten; LinkedIn post published; 3 mock interviews done</t>
  </si>
  <si>
    <t xml:space="preserve">D27, D28</t>
  </si>
  <si>
    <t xml:space="preserve">TOTAL</t>
  </si>
  <si>
    <t xml:space="preserve">Resource</t>
  </si>
  <si>
    <t xml:space="preserve">Type</t>
  </si>
  <si>
    <t xml:space="preserve">Cost (as found)</t>
  </si>
  <si>
    <t xml:space="preserve">Duration (as stated)</t>
  </si>
  <si>
    <t xml:space="preserve">Weeks</t>
  </si>
  <si>
    <t xml:space="preserve">Priority</t>
  </si>
  <si>
    <t xml:space="preserve">Notes</t>
  </si>
  <si>
    <t xml:space="preserve">Dimensional Modeling and the Star Schema (Data Modeling for Analytics guide)</t>
  </si>
  <si>
    <t xml:space="preserve">Guide</t>
  </si>
  <si>
    <t xml:space="preserve">Free</t>
  </si>
  <si>
    <t xml:space="preserve">1</t>
  </si>
  <si>
    <t xml:space="preserve">CORE</t>
  </si>
  <si>
    <t xml:space="preserve">Explains grain, facts, dimensions and surrogate keys in order; has a next chapter on fact table design.</t>
  </si>
  <si>
    <t xml:space="preserve">Understand star schema (Microsoft Learn)</t>
  </si>
  <si>
    <t xml:space="preserve">Article</t>
  </si>
  <si>
    <t xml:space="preserve">Power BI oriented and not a full treatment; use it as a second explanation.</t>
  </si>
  <si>
    <t xml:space="preserve">The Data Warehouse Toolkit, Kimball and Ross, chapters 1-3</t>
  </si>
  <si>
    <t xml:space="preserve">Book</t>
  </si>
  <si>
    <t xml:space="preserve">Paid (borrow)</t>
  </si>
  <si>
    <t xml:space="preserve">OPTIONAL</t>
  </si>
  <si>
    <t xml:space="preserve">Source of the Kimball techniques; open it only if a concept stays unclear after the build.</t>
  </si>
  <si>
    <t xml:space="preserve">Kimball Dimensional Modeling Techniques</t>
  </si>
  <si>
    <t xml:space="preserve">Reference</t>
  </si>
  <si>
    <t xml:space="preserve">1-3</t>
  </si>
  <si>
    <t xml:space="preserve">REFERENCE</t>
  </si>
  <si>
    <t xml:space="preserve">Summary only; use it as a checklist while you build.</t>
  </si>
  <si>
    <t xml:space="preserve">dbt Fundamentals (dbt Labs)</t>
  </si>
  <si>
    <t xml:space="preserve">Course</t>
  </si>
  <si>
    <t xml:space="preserve">about 5 h (third-party listing)</t>
  </si>
  <si>
    <t xml:space="preserve">2</t>
  </si>
  <si>
    <t xml:space="preserve">Official free starter course covering models, tests and documentation.</t>
  </si>
  <si>
    <t xml:space="preserve">dbt docs: Snapshots</t>
  </si>
  <si>
    <t xml:space="preserve">Docs</t>
  </si>
  <si>
    <t xml:space="preserve">How SCD2 is done in dbt.</t>
  </si>
  <si>
    <t xml:space="preserve">3</t>
  </si>
  <si>
    <t xml:space="preserve">Concepts and trade-offs versus a star schema.</t>
  </si>
  <si>
    <t xml:space="preserve">AutomateDV worked example (Data Vault on Snowflake TPC-H)</t>
  </si>
  <si>
    <t xml:space="preserve">Tutorial</t>
  </si>
  <si>
    <t xml:space="preserve">3, 10</t>
  </si>
  <si>
    <t xml:space="preserve">Needs a Snowflake trial and the TPC-H sample data. Its page says using a corporate account is at your own risk, so use a personal trial.</t>
  </si>
  <si>
    <t xml:space="preserve">SnowPro Core (COF-C03) official exam page</t>
  </si>
  <si>
    <t xml:space="preserve">Official page</t>
  </si>
  <si>
    <t xml:space="preserve">4-6</t>
  </si>
  <si>
    <t xml:space="preserve">Lists what the exam tests and recommends 6+ months of Snowflake experience. COF-C03 replaced COF-C02 on 16 Feb 2026; confirm exam code, price and rules here before booking.</t>
  </si>
  <si>
    <t xml:space="preserve">Snowflake documentation (Core topics: architecture, warehouses, loading, security, sharing)</t>
  </si>
  <si>
    <t xml:space="preserve">Main source for Core. Many third-party guides cover the retired COF-C02, so check them against the official page.</t>
  </si>
  <si>
    <t xml:space="preserve">Snowflake Hands-On Essentials track</t>
  </si>
  <si>
    <t xml:space="preserve">Workshops</t>
  </si>
  <si>
    <t xml:space="preserve">4, 9, 11</t>
  </si>
  <si>
    <t xml:space="preserve">Aimed at beginners, so useful as a quick Core refresher (Data Warehousing workshop, week 4). Later: the Collab/Marketplace/Cost Estimation workshop (week 9) and Data Engineering (week 11).</t>
  </si>
  <si>
    <t xml:space="preserve">Udemy: Snowflake Core COF-C03 Certification Practice Tests</t>
  </si>
  <si>
    <t xml:space="preserve">Udemy practice tests</t>
  </si>
  <si>
    <t xml:space="preserve">Your Udemy access</t>
  </si>
  <si>
    <t xml:space="preserve">2 tests of 100 questions</t>
  </si>
  <si>
    <t xml:space="preserve">6</t>
  </si>
  <si>
    <t xml:space="preserve">https://www.udemy.com/course/snowflake-core-cof-c03-certification-practice-tests/</t>
  </si>
  <si>
    <t xml:space="preserve">Found by search; check update date and reviews.</t>
  </si>
  <si>
    <t xml:space="preserve">Udemy: 5 Practice Exams for COF-C03 Snowflake Core Certification</t>
  </si>
  <si>
    <t xml:space="preserve">5 tests of 100 questions, 1 h 55 min each</t>
  </si>
  <si>
    <t xml:space="preserve">https://www.udemy.com/course/5-practice-exams-cof-c02-snowflake-core-certification</t>
  </si>
  <si>
    <t xml:space="preserve">Found by search; check update date and reviews. The page address mentions COF-C02, so confirm the content is COF-C03.</t>
  </si>
  <si>
    <t xml:space="preserve">Udemy: Practice Tests for the SnowPro Core Exam (COF-C02/C03)</t>
  </si>
  <si>
    <t xml:space="preserve">3 tests of 100 questions</t>
  </si>
  <si>
    <t xml:space="preserve">https://www.udemy.com/course/snowpro-core-certification-exam-practice-tests/</t>
  </si>
  <si>
    <t xml:space="preserve">Found by search; only the last test is described as covering COF-C03.</t>
  </si>
  <si>
    <t xml:space="preserve">SnowPro Advanced: Architect (ARA-C01) study guide</t>
  </si>
  <si>
    <t xml:space="preserve">Official guide</t>
  </si>
  <si>
    <t xml:space="preserve">Free (check access)</t>
  </si>
  <si>
    <t xml:space="preserve">7-12</t>
  </si>
  <si>
    <t xml:space="preserve">Lists domains, weights and doc links per topic. The page showed 'enrollment closed' when I checked, so also look for the current exam guide on Snowflake's certification page.</t>
  </si>
  <si>
    <t xml:space="preserve">Snowflake documentation</t>
  </si>
  <si>
    <t xml:space="preserve">7-11</t>
  </si>
  <si>
    <t xml:space="preserve">Primary source for every exam topic.</t>
  </si>
  <si>
    <t xml:space="preserve">Snowflake Quickstarts</t>
  </si>
  <si>
    <t xml:space="preserve">Hands-on guides</t>
  </si>
  <si>
    <t xml:space="preserve">9</t>
  </si>
  <si>
    <t xml:space="preserve">SnowPro Advanced Architect Certification Companion (Ruchi Soni, Apress)</t>
  </si>
  <si>
    <t xml:space="preserve">Paid (check O'Reilly access)</t>
  </si>
  <si>
    <t xml:space="preserve">Covers the four exam domains. Check whether your company has O'Reilly access.</t>
  </si>
  <si>
    <t xml:space="preserve">Professional Data Engineer learning path (Google Skills)</t>
  </si>
  <si>
    <t xml:space="preserve">Course path</t>
  </si>
  <si>
    <t xml:space="preserve">Free 30 days for new users</t>
  </si>
  <si>
    <t xml:space="preserve">13 activities</t>
  </si>
  <si>
    <t xml:space="preserve">13-16</t>
  </si>
  <si>
    <t xml:space="preserve">Start it in week 10 and finish by week 13 so the free period covers it.</t>
  </si>
  <si>
    <t xml:space="preserve">Your guide to preparing for the Professional Data Engineer certification (Google)</t>
  </si>
  <si>
    <t xml:space="preserve">13</t>
  </si>
  <si>
    <t xml:space="preserve">Google's own preparation steps and tips.</t>
  </si>
  <si>
    <t xml:space="preserve">Professional Data Engineer exam guide</t>
  </si>
  <si>
    <t xml:space="preserve">13-17</t>
  </si>
  <si>
    <t xml:space="preserve">Use it as your checklist.</t>
  </si>
  <si>
    <t xml:space="preserve">Pub/Sub, Dataflow and BigQuery documentation</t>
  </si>
  <si>
    <t xml:space="preserve">14, 17</t>
  </si>
  <si>
    <t xml:space="preserve">15</t>
  </si>
  <si>
    <t xml:space="preserve">16</t>
  </si>
  <si>
    <t xml:space="preserve">Professional Data Engineer Study Guide (O'Reilly)</t>
  </si>
  <si>
    <t xml:space="preserve">Paid (check access)</t>
  </si>
  <si>
    <t xml:space="preserve">Recommended in Google's preparation guide.</t>
  </si>
  <si>
    <t xml:space="preserve">18</t>
  </si>
  <si>
    <t xml:space="preserve">OpenMetadata documentation</t>
  </si>
  <si>
    <t xml:space="preserve">Local catalog and lineage in Docker. Alternative: OpenLineage.</t>
  </si>
  <si>
    <t xml:space="preserve">DAMA knowledge areas</t>
  </si>
  <si>
    <t xml:space="preserve">19</t>
  </si>
  <si>
    <t xml:space="preserve">18-21</t>
  </si>
  <si>
    <t xml:space="preserve">The DMBOK book is the real source for the exam; borrow it or ask your employer.</t>
  </si>
  <si>
    <t xml:space="preserve">Udemy: Do-It-Yourself CDMP Exam Preparation: DMBOKv2 Summary Notes</t>
  </si>
  <si>
    <t xml:space="preserve">Udemy course</t>
  </si>
  <si>
    <t xml:space="preserve">19-21</t>
  </si>
  <si>
    <t xml:space="preserve">Summary notes, not the DMBOK itself. Check update date and reviews.</t>
  </si>
  <si>
    <t xml:space="preserve">Udemy: CDMP Data Management Exam Prep: 800 Practice Questions</t>
  </si>
  <si>
    <t xml:space="preserve">6 practice tests</t>
  </si>
  <si>
    <t xml:space="preserve">21</t>
  </si>
  <si>
    <t xml:space="preserve">Check update date and reviews before relying on it.</t>
  </si>
  <si>
    <t xml:space="preserve">Introduction to Model Context Protocol (Anthropic Academy)</t>
  </si>
  <si>
    <t xml:space="preserve">20</t>
  </si>
  <si>
    <t xml:space="preserve">Builds MCP servers and clients with the Python SDK and includes the MCP Inspector.</t>
  </si>
  <si>
    <t xml:space="preserve">MCP: Build Rich-Context AI Apps with Anthropic (DeepLearning.AI)</t>
  </si>
  <si>
    <t xml:space="preserve">Short course</t>
  </si>
  <si>
    <t xml:space="preserve">Free (check current access)</t>
  </si>
  <si>
    <t xml:space="preserve">about 1 h 40</t>
  </si>
  <si>
    <t xml:space="preserve">Build and deploy an MCP server. The page said access was free for a limited time during a beta, so check.</t>
  </si>
  <si>
    <t xml:space="preserve">Model Context Protocol documentation</t>
  </si>
  <si>
    <t xml:space="preserve">CNIL (French data protection authority)</t>
  </si>
  <si>
    <t xml:space="preserve">Guidance</t>
  </si>
  <si>
    <t xml:space="preserve">20-21</t>
  </si>
  <si>
    <t xml:space="preserve">https://www.cnil.fr</t>
  </si>
  <si>
    <t xml:space="preserve">GDPR guidance, in French.</t>
  </si>
  <si>
    <t xml:space="preserve">22</t>
  </si>
  <si>
    <t xml:space="preserve">Architecture Decision Records (ADR templates)</t>
  </si>
  <si>
    <t xml:space="preserve">3, 22-23</t>
  </si>
  <si>
    <t xml:space="preserve">Links were checked by web search on 17 Oct 2026. Free or paid status is as found; confirm before relying on it. Courses I only know from their descriptions are marked 'check date and reviews'.</t>
  </si>
  <si>
    <t xml:space="preserve">Item</t>
  </si>
  <si>
    <t xml:space="preserve">Description</t>
  </si>
  <si>
    <t xml:space="preserve">Project name</t>
  </si>
  <si>
    <t xml:space="preserve">OrderFlow: an end-to-end Order-to-Cash data platform (one project used in every phase)</t>
  </si>
  <si>
    <t xml:space="preserve">Business scenario</t>
  </si>
  <si>
    <t xml:space="preserve">A mid-size B2B distributor receives purchase orders, shipping notices and invoices from partners via EDI/API files. Finance, sales and logistics need trusted, secure, governed data, and AI agents need governed access to it.</t>
  </si>
  <si>
    <t xml:space="preserve">Data sources</t>
  </si>
  <si>
    <t xml:space="preserve">(1) Synthetic EDI/API-style data from your Python generator (850 purchase order, 856 shipping notice, 810 invoice, payments, customers, products), with injected duplicates, late events and bad records. (2) Snowflake sample data (TPC-H) for volume and performance tests. No employer data.</t>
  </si>
  <si>
    <t xml:space="preserve">Architecture layers</t>
  </si>
  <si>
    <t xml:space="preserve">Ingestion (files/API/events) &gt; RAW &gt; STG &gt; CORE (Kimball, with Data Vault option documented) &gt; MART &gt; serving (BI, data share, MCP server)</t>
  </si>
  <si>
    <t xml:space="preserve">Platforms</t>
  </si>
  <si>
    <t xml:space="preserve">Snowflake (primary), BigQuery (secondary, for comparison and the GCP exam), dbt for transformation, Airflow (local Docker) for orchestration, OpenMetadata or Marquez/OpenLineage for catalog and lineage</t>
  </si>
  <si>
    <t xml:space="preserve">Where your experience shows</t>
  </si>
  <si>
    <t xml:space="preserve">Ingestion design and file/EDI handling come from your Talend/Lobster background. Say so in the README and map the patterns you used.</t>
  </si>
  <si>
    <t xml:space="preserve">Cost guardrails</t>
  </si>
  <si>
    <t xml:space="preserve">Use Snowflake trial credits and a small warehouse with auto-suspend and a resource monitor. In GCP set a budget alert on day 1, avoid always-on services (Composer, Dataflow jobs) and delete resources after each exercise. Check vendor pricing pages before turning anything on.</t>
  </si>
  <si>
    <t xml:space="preserve">Repo structure</t>
  </si>
  <si>
    <t xml:space="preserve">docs/ (architecture, requirements) | adr/ (decision records) | ingestion/ (generator, loaders) | dbt/ | infra/ (SQL/Terraform scripts for roles, policies) | orchestration/ | mcp/ | governance/</t>
  </si>
  <si>
    <t xml:space="preserve">Definition of done</t>
  </si>
  <si>
    <t xml:space="preserve">A stranger can read the README, understand the architecture in 5 minutes, run the pipeline from scratch, and see 4 ADRs showing trade-offs and costs. A 5 to 10 minute demo video walks through it.</t>
  </si>
  <si>
    <t xml:space="preserve">Scope rule</t>
  </si>
  <si>
    <t xml:space="preserve">One finished, documented project beats four half-built ones. Cut stretch goals (Iceberg, Dataflow, Composer) before cutting documentation.</t>
  </si>
  <si>
    <t xml:space="preserve">Slot</t>
  </si>
  <si>
    <t xml:space="preserve">Search keywords on Udemy</t>
  </si>
  <si>
    <t xml:space="preserve">Course title (you fill) [EDIT]</t>
  </si>
  <si>
    <t xml:space="preserve">Last updated (you fill) [EDIT]</t>
  </si>
  <si>
    <t xml:space="preserve">Updated in last 12 months?</t>
  </si>
  <si>
    <t xml:space="preserve">Rating (you fill) [EDIT]</t>
  </si>
  <si>
    <t xml:space="preserve">Video hours (you fill) [EDIT]</t>
  </si>
  <si>
    <t xml:space="preserve">Candidates I found (verify before use)</t>
  </si>
  <si>
    <t xml:space="preserve">SnowPro Core prep (COF-C03)</t>
  </si>
  <si>
    <t xml:space="preserve">SnowPro Core COF-C03</t>
  </si>
  <si>
    <t xml:space="preserve">Prep courses: check the course says COF-C03 (older ones cover the retired COF-C02). Search 'SnowPro Core COF-C03'</t>
  </si>
  <si>
    <t xml:space="preserve">SnowPro Core practice exams</t>
  </si>
  <si>
    <t xml:space="preserve">SnowPro Core COF-C03 practice exam</t>
  </si>
  <si>
    <t xml:space="preserve">Snowflake Core COF-C03 Certification Practice Tests (200 questions); 5 Practice Exams for COF-C03 (500 questions); Practice Tests for the SnowPro Core Exam COF-C02/C03 (found by search; check update date and reviews)</t>
  </si>
  <si>
    <t xml:space="preserve">SnowPro Advanced Architect prep</t>
  </si>
  <si>
    <t xml:space="preserve">SnowPro Advanced Architect ARA-C01</t>
  </si>
  <si>
    <t xml:space="preserve">None verified: search with the keywords and apply the checks below</t>
  </si>
  <si>
    <t xml:space="preserve">SnowPro Architect practice exams</t>
  </si>
  <si>
    <t xml:space="preserve">12</t>
  </si>
  <si>
    <t xml:space="preserve">SnowPro Advanced Architect practice exam</t>
  </si>
  <si>
    <t xml:space="preserve">GCP Professional Data Engineer prep</t>
  </si>
  <si>
    <t xml:space="preserve">Google Professional Data Engineer certification</t>
  </si>
  <si>
    <t xml:space="preserve">GCP Professional Data Engineer practice exams</t>
  </si>
  <si>
    <t xml:space="preserve">17</t>
  </si>
  <si>
    <t xml:space="preserve">Professional Data Engineer practice exam</t>
  </si>
  <si>
    <t xml:space="preserve">CDMP / DAMA-DMBOK prep or practice</t>
  </si>
  <si>
    <t xml:space="preserve">CDMP DAMA DMBOK</t>
  </si>
  <si>
    <t xml:space="preserve">CDMP Data Management Exam Prep: 800 Practice Questions; Do-It-Yourself CDMP Exam Preparation: DMBOKv2 Summary Notes (found by search; check update date and reviews)</t>
  </si>
  <si>
    <t xml:space="preserve">Data modeling / Data Vault</t>
  </si>
  <si>
    <t xml:space="preserve">data modeling Kimball; Data Vault 2.0</t>
  </si>
  <si>
    <t xml:space="preserve">Airflow</t>
  </si>
  <si>
    <t xml:space="preserve">Apache Airflow</t>
  </si>
  <si>
    <t xml:space="preserve">Data governance, MDM and GDPR</t>
  </si>
  <si>
    <t xml:space="preserve">18-20</t>
  </si>
  <si>
    <t xml:space="preserve">data governance; master data management; GDPR</t>
  </si>
  <si>
    <t xml:space="preserve">MCP / AI agents</t>
  </si>
  <si>
    <t xml:space="preserve">Model Context Protocol; AI agents</t>
  </si>
  <si>
    <t xml:space="preserve">Free alternatives, no Udemy needed: Anthropic Academy 'Introduction to Model Context Protocol'; DeepLearning.AI 'MCP: Build Rich-Context AI Apps with Anthropic'</t>
  </si>
  <si>
    <t xml:space="preserve">Architecture and system design interviews</t>
  </si>
  <si>
    <t xml:space="preserve">22-23</t>
  </si>
  <si>
    <t xml:space="preserve">software architecture; system design interview</t>
  </si>
  <si>
    <t xml:space="preserve">How to choose: (1) exact exam name, not the associate level, (2) updated within 12 months, (3) recent reviews from people who passed, (4) one course per exam. Do not buy or enrol in several courses for the same exam.</t>
  </si>
  <si>
    <t xml:space="preserve">Course titles are not listed here because availability and quality change; search with the keywords and fill in your pick. Check whether Udemy Business includes learning paths or labs.</t>
  </si>
  <si>
    <t xml:space="preserve">Exam [EDIT]</t>
  </si>
  <si>
    <t xml:space="preserve">Attempt # [EDIT]</t>
  </si>
  <si>
    <t xml:space="preserve">Date [EDIT]</t>
  </si>
  <si>
    <t xml:space="preserve">Score (%) [EDIT]</t>
  </si>
  <si>
    <t xml:space="preserve">Weak areas found [EDIT]</t>
  </si>
  <si>
    <t xml:space="preserve">Next action [EDIT]</t>
  </si>
  <si>
    <t xml:space="preserve">Legend</t>
  </si>
  <si>
    <t xml:space="preserve">EXAMPLE SnowPro Advanced: Architect</t>
  </si>
  <si>
    <t xml:space="preserve">Replication and failover, cost controls</t>
  </si>
  <si>
    <t xml:space="preserve">Redo the week 6 and 7 experiments (example row, ignored by the Dashboard)</t>
  </si>
  <si>
    <t xml:space="preserve">Enter scores as percentages (e.g. 72%). Pick the exam from the dropdown starting at row 3 so the Dashboard counts it.</t>
  </si>
  <si>
    <t xml:space="preserve">Row 2 is an example and is not counted.</t>
  </si>
  <si>
    <t xml:space="preserve">ID</t>
  </si>
  <si>
    <t xml:space="preserve">Due (suggested)</t>
  </si>
  <si>
    <t xml:space="preserve">Deliverable</t>
  </si>
  <si>
    <t xml:space="preserve">Proof of done</t>
  </si>
  <si>
    <t xml:space="preserve">GitHub link (you fill) [EDIT]</t>
  </si>
  <si>
    <t xml:space="preserve">D01</t>
  </si>
  <si>
    <t xml:space="preserve">Doc</t>
  </si>
  <si>
    <t xml:space="preserve">Requirements, scenario and data-source inventory</t>
  </si>
  <si>
    <t xml:space="preserve">README section committed to the repo</t>
  </si>
  <si>
    <t xml:space="preserve">D02</t>
  </si>
  <si>
    <t xml:space="preserve">Model</t>
  </si>
  <si>
    <t xml:space="preserve">Bus matrix for order-to-cash</t>
  </si>
  <si>
    <t xml:space="preserve">Matrix in docs/ listing processes and conformed dimensions</t>
  </si>
  <si>
    <t xml:space="preserve">D03</t>
  </si>
  <si>
    <t xml:space="preserve">Code</t>
  </si>
  <si>
    <t xml:space="preserve">Python synthetic data generator (EDI/API-style)</t>
  </si>
  <si>
    <t xml:space="preserve">Script runs and produces files with injected defects</t>
  </si>
  <si>
    <t xml:space="preserve">D04</t>
  </si>
  <si>
    <t xml:space="preserve">dbt project initialized with SCD2 customer snapshot</t>
  </si>
  <si>
    <t xml:space="preserve">dbt snapshot runs; history rows visible</t>
  </si>
  <si>
    <t xml:space="preserve">D05</t>
  </si>
  <si>
    <t xml:space="preserve">Diagram</t>
  </si>
  <si>
    <t xml:space="preserve">Order-to-cash logical model</t>
  </si>
  <si>
    <t xml:space="preserve">dbdiagram export committed</t>
  </si>
  <si>
    <t xml:space="preserve">D06</t>
  </si>
  <si>
    <t xml:space="preserve">ADR</t>
  </si>
  <si>
    <t xml:space="preserve">ADR-001: Kimball vs Data Vault per layer</t>
  </si>
  <si>
    <t xml:space="preserve">Decision, options, trade-offs, consequences</t>
  </si>
  <si>
    <t xml:space="preserve">D07</t>
  </si>
  <si>
    <t xml:space="preserve">Snowflake environment scripts and raw load</t>
  </si>
  <si>
    <t xml:space="preserve">Scripts rerunnable from scratch</t>
  </si>
  <si>
    <t xml:space="preserve">D08</t>
  </si>
  <si>
    <t xml:space="preserve">ADR-002: account and environment strategy</t>
  </si>
  <si>
    <t xml:space="preserve">Single vs multi-account, naming, regions</t>
  </si>
  <si>
    <t xml:space="preserve">RBAC, masking and row access scripts with test queries</t>
  </si>
  <si>
    <t xml:space="preserve">Test results showing different roles see different data</t>
  </si>
  <si>
    <t xml:space="preserve">Secure share for a fictional partner (reduced mart, no PII)</t>
  </si>
  <si>
    <t xml:space="preserve">Share works from a second account or a reader account</t>
  </si>
  <si>
    <t xml:space="preserve">dbt bronze/silver/gold models with tests</t>
  </si>
  <si>
    <t xml:space="preserve">dbt build passes</t>
  </si>
  <si>
    <t xml:space="preserve">Performance and cost report</t>
  </si>
  <si>
    <t xml:space="preserve">Experiments with numbers and query profile screenshots</t>
  </si>
  <si>
    <t xml:space="preserve">Incremental pipeline (Streams/Tasks or Dynamic Tables)</t>
  </si>
  <si>
    <t xml:space="preserve">New data flows through without full reloads</t>
  </si>
  <si>
    <t xml:space="preserve">Architecture diagram v1 (Snowflake)</t>
  </si>
  <si>
    <t xml:space="preserve">Diagram committed</t>
  </si>
  <si>
    <t xml:space="preserve">BigQuery load with partitioning and clustering design</t>
  </si>
  <si>
    <t xml:space="preserve">Tables created; design explained</t>
  </si>
  <si>
    <t xml:space="preserve">Streaming slice (Pub/Sub to BigQuery)</t>
  </si>
  <si>
    <t xml:space="preserve">Events arrive; resources deleted after</t>
  </si>
  <si>
    <t xml:space="preserve">Airflow DAG (ingest + dbt) and storage-choice matrix</t>
  </si>
  <si>
    <t xml:space="preserve">DAG runs locally</t>
  </si>
  <si>
    <t xml:space="preserve">GCP security and governance note (IAM, DLP)</t>
  </si>
  <si>
    <t xml:space="preserve">DLP findings and IAM design documented</t>
  </si>
  <si>
    <t xml:space="preserve">ADR-004: Snowflake vs BigQuery with cost comparison</t>
  </si>
  <si>
    <t xml:space="preserve">3 workloads compared with costs</t>
  </si>
  <si>
    <t xml:space="preserve">dbt quality tests plus lineage/catalog</t>
  </si>
  <si>
    <t xml:space="preserve">Lineage graph screenshot for one pipeline</t>
  </si>
  <si>
    <t xml:space="preserve">Customer golden record (MDM)</t>
  </si>
  <si>
    <t xml:space="preserve">MCP server exposing governed data and lineage</t>
  </si>
  <si>
    <t xml:space="preserve">Demo with an AI agent respecting roles</t>
  </si>
  <si>
    <t xml:space="preserve">Governance and GDPR design</t>
  </si>
  <si>
    <t xml:space="preserve">Classification, retention, erasure approach</t>
  </si>
  <si>
    <t xml:space="preserve">D24</t>
  </si>
  <si>
    <t xml:space="preserve">Final C4 architecture diagrams</t>
  </si>
  <si>
    <t xml:space="preserve">Context, container and component views</t>
  </si>
  <si>
    <t xml:space="preserve">D25</t>
  </si>
  <si>
    <t xml:space="preserve">README, runbook and cost analysis</t>
  </si>
  <si>
    <t xml:space="preserve">Run from scratch using only the docs</t>
  </si>
  <si>
    <t xml:space="preserve">D26</t>
  </si>
  <si>
    <t xml:space="preserve">Video</t>
  </si>
  <si>
    <t xml:space="preserve">5 to 10 minute demo walkthrough</t>
  </si>
  <si>
    <t xml:space="preserve">Link added to README</t>
  </si>
  <si>
    <t xml:space="preserve">D27</t>
  </si>
  <si>
    <t xml:space="preserve">CV rewritten for architect roles</t>
  </si>
  <si>
    <t xml:space="preserve">Reviewed by at least one peer</t>
  </si>
  <si>
    <t xml:space="preserve">D28</t>
  </si>
  <si>
    <t xml:space="preserve">Post</t>
  </si>
  <si>
    <t xml:space="preserve">LinkedIn write-up of the project</t>
  </si>
  <si>
    <t xml:space="preserve">Published</t>
  </si>
  <si>
    <t xml:space="preserve">Security extension: network policy, tag-based masking, SSO/SCIM design note</t>
  </si>
  <si>
    <t xml:space="preserve">Policies tested; design note committed</t>
  </si>
  <si>
    <t xml:space="preserve">Replication and failover design note (RPO/RTO)</t>
  </si>
  <si>
    <t xml:space="preserve">Note committed with accounts, regions and recovery targets</t>
  </si>
  <si>
    <t xml:space="preserve">Certification</t>
  </si>
  <si>
    <t xml:space="preserve">Target exam week</t>
  </si>
  <si>
    <t xml:space="preserve">Exam date (suggested, overwrite)</t>
  </si>
  <si>
    <t xml:space="preserve">Cost (you fill, check vendor page) [EDIT]</t>
  </si>
  <si>
    <t xml:space="preserve">Book exam by (suggested)</t>
  </si>
  <si>
    <t xml:space="preserve">SnowPro Core (COF-C03, prerequisite for the Architect exam)</t>
  </si>
  <si>
    <t xml:space="preserve">Suggested date = Friday of the target week. Confirm exam codes, prices and domains on the vendor page before booking.</t>
  </si>
  <si>
    <t xml:space="preserve">Company [EDIT]</t>
  </si>
  <si>
    <t xml:space="preserve">Role title [EDIT]</t>
  </si>
  <si>
    <t xml:space="preserve">Date applied [EDIT]</t>
  </si>
  <si>
    <t xml:space="preserve">Source [EDIT]</t>
  </si>
  <si>
    <t xml:space="preserve">Next step / notes [EDIT]</t>
  </si>
  <si>
    <t xml:space="preserve">Titles to search</t>
  </si>
  <si>
    <t xml:space="preserve">EXAMPLE Acme Corp</t>
  </si>
  <si>
    <t xml:space="preserve">Data Platform Architect</t>
  </si>
  <si>
    <t xml:space="preserve">LinkedIn</t>
  </si>
  <si>
    <t xml:space="preserve">Example</t>
  </si>
  <si>
    <t xml:space="preserve">Phone screen booked (example row, overwrite or delete)</t>
  </si>
  <si>
    <t xml:space="preserve">Data Architect</t>
  </si>
  <si>
    <t xml:space="preserve">Solutions Architect (data)</t>
  </si>
  <si>
    <t xml:space="preserve">Integration Architect</t>
  </si>
  <si>
    <t xml:space="preserve">Lead / Senior Data Engineer (architecture scope)</t>
  </si>
  <si>
    <t xml:space="preserve">Analytics Engineering Lead</t>
  </si>
  <si>
    <t xml:space="preserve">Start applying from week 13 (after SnowPro Architect). Use the project as your main proof.</t>
  </si>
</sst>
</file>

<file path=xl/styles.xml><?xml version="1.0" encoding="utf-8"?>
<styleSheet xmlns="http://schemas.openxmlformats.org/spreadsheetml/2006/main">
  <numFmts count="5">
    <numFmt numFmtId="164" formatCode="General"/>
    <numFmt numFmtId="165" formatCode="dd\ mmm\ yyyy"/>
    <numFmt numFmtId="166" formatCode="0%"/>
    <numFmt numFmtId="167" formatCode="General"/>
    <numFmt numFmtId="168"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name val="Arial"/>
      <family val="0"/>
      <charset val="1"/>
    </font>
    <font>
      <b val="true"/>
      <sz val="10"/>
      <name val="Arial"/>
      <family val="0"/>
      <charset val="1"/>
    </font>
    <font>
      <sz val="10"/>
      <color rgb="FF0000FF"/>
      <name val="Arial"/>
      <family val="0"/>
      <charset val="1"/>
    </font>
    <font>
      <sz val="10"/>
      <name val="Arial"/>
      <family val="0"/>
      <charset val="1"/>
    </font>
    <font>
      <b val="true"/>
      <sz val="10"/>
      <color rgb="FFFFFFFF"/>
      <name val="Arial"/>
      <family val="0"/>
      <charset val="1"/>
    </font>
    <font>
      <b val="true"/>
      <sz val="12"/>
      <color rgb="FFC00000"/>
      <name val="Arial"/>
      <family val="0"/>
      <charset val="1"/>
    </font>
    <font>
      <b val="true"/>
      <sz val="10"/>
      <color rgb="FFC00000"/>
      <name val="Arial"/>
      <family val="0"/>
      <charset val="1"/>
    </font>
    <font>
      <u val="single"/>
      <sz val="10"/>
      <color rgb="FF0563C1"/>
      <name val="Arial"/>
      <family val="0"/>
      <charset val="1"/>
    </font>
  </fonts>
  <fills count="10">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DDEBF7"/>
        <bgColor rgb="FFE2EFDA"/>
      </patternFill>
    </fill>
    <fill>
      <patternFill patternType="solid">
        <fgColor rgb="FFFCE4D6"/>
        <bgColor rgb="FFFFF2CC"/>
      </patternFill>
    </fill>
    <fill>
      <patternFill patternType="solid">
        <fgColor rgb="FFE2EFDA"/>
        <bgColor rgb="FFDDEBF7"/>
      </patternFill>
    </fill>
    <fill>
      <patternFill patternType="solid">
        <fgColor rgb="FFFFF2CC"/>
        <bgColor rgb="FFFCE4D6"/>
      </patternFill>
    </fill>
    <fill>
      <patternFill patternType="solid">
        <fgColor rgb="FFF8CBAD"/>
        <bgColor rgb="FFFCE4D6"/>
      </patternFill>
    </fill>
    <fill>
      <patternFill patternType="solid">
        <fgColor rgb="FFE4DFEC"/>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applyNumberFormat="true" applyFill="false" numFmtId="164" fontId="0" fillId="0" borderId="0" xfId="0" applyFont="false" applyBorder="false" applyAlignment="true" applyProtection="false">
      <alignment horizontal="general" vertical="bottom" textRotation="0" wrapText="false" indent="0" shrinkToFit="false"/>
      <protection locked="true" hidden="false"/>
    </xf>
    <xf applyNumberFormat="true" applyFill="false" numFmtId="164" fontId="4" fillId="0" borderId="0" xfId="0" applyFont="true" applyBorder="false" applyAlignment="true" applyProtection="false">
      <alignment horizontal="general" vertical="bottom" textRotation="0" wrapText="false" indent="0" shrinkToFit="false"/>
      <protection locked="true" hidden="false"/>
    </xf>
    <xf applyNumberFormat="true" applyFill="false" numFmtId="164" fontId="5" fillId="0" borderId="0" xfId="0" applyFont="true" applyBorder="false" applyAlignment="true" applyProtection="false">
      <alignment horizontal="general" vertical="bottom" textRotation="0" wrapText="false" indent="0" shrinkToFit="false"/>
      <protection locked="true" hidden="false"/>
    </xf>
    <xf applyNumberFormat="true" applyFill="false" numFmtId="164" fontId="6" fillId="0" borderId="0" xfId="0" applyFont="true" applyBorder="false" applyAlignment="true" applyProtection="false">
      <alignment horizontal="general" vertical="bottom" textRotation="0" wrapText="false" indent="0" shrinkToFit="false"/>
      <protection locked="true" hidden="false"/>
    </xf>
    <xf applyNumberFormat="true" applyFill="true" numFmtId="165" fontId="7" fillId="2" borderId="1" xfId="0" applyFont="true" applyBorder="true" applyAlignment="true" applyProtection="false">
      <alignment horizontal="general" vertical="bottom" textRotation="0" wrapText="false" indent="0" shrinkToFit="false"/>
      <protection locked="true" hidden="false"/>
    </xf>
    <xf applyNumberFormat="true" applyFill="true" numFmtId="166" fontId="7" fillId="2" borderId="1" xfId="0" applyFont="true" applyBorder="true" applyAlignment="true" applyProtection="false">
      <alignment horizontal="general" vertical="bottom" textRotation="0" wrapText="false" indent="0" shrinkToFit="false"/>
      <protection locked="true" hidden="false"/>
    </xf>
    <xf applyNumberFormat="true" applyFill="false" numFmtId="164" fontId="8" fillId="0" borderId="0" xfId="0" applyFont="true" applyBorder="false" applyAlignment="true" applyProtection="false">
      <alignment horizontal="general" vertical="bottom" textRotation="0" wrapText="false" indent="0" shrinkToFit="false"/>
      <protection locked="true" hidden="false"/>
    </xf>
    <xf applyNumberFormat="true" applyFill="false" numFmtId="167" fontId="8" fillId="0" borderId="0" xfId="0" applyFont="true" applyBorder="false" applyAlignment="true" applyProtection="false">
      <alignment horizontal="right" vertical="bottom" textRotation="0" wrapText="false" indent="0" shrinkToFit="false"/>
      <protection locked="true" hidden="false"/>
    </xf>
    <xf applyNumberFormat="true" applyFill="false" numFmtId="166" fontId="8" fillId="0" borderId="0" xfId="0" applyFont="true" applyBorder="false" applyAlignment="true" applyProtection="false">
      <alignment horizontal="right" vertical="bottom" textRotation="0" wrapText="false" indent="0" shrinkToFit="false"/>
      <protection locked="true" hidden="false"/>
    </xf>
    <xf applyNumberFormat="true" applyFill="false" numFmtId="168" fontId="8" fillId="0" borderId="0" xfId="0" applyFont="true" applyBorder="false" applyAlignment="true" applyProtection="false">
      <alignment horizontal="right" vertical="bottom" textRotation="0" wrapText="false" indent="0" shrinkToFit="false"/>
      <protection locked="true" hidden="false"/>
    </xf>
    <xf applyNumberFormat="true" applyFill="false" numFmtId="165" fontId="8" fillId="0" borderId="0" xfId="0" applyFont="true" applyBorder="false" applyAlignment="true" applyProtection="false">
      <alignment horizontal="right" vertical="bottom" textRotation="0" wrapText="false" indent="0" shrinkToFit="false"/>
      <protection locked="true" hidden="false"/>
    </xf>
    <xf applyNumberFormat="true" applyFill="true" numFmtId="164" fontId="9" fillId="3" borderId="1" xfId="0" applyFont="true" applyBorder="true" applyAlignment="true" applyProtection="false">
      <alignment horizontal="general" vertical="center" textRotation="0" wrapText="true" indent="0" shrinkToFit="false"/>
      <protection locked="true" hidden="false"/>
    </xf>
    <xf applyNumberFormat="true" applyFill="true" numFmtId="164" fontId="8" fillId="4" borderId="1" xfId="0" applyFont="true" applyBorder="true" applyAlignment="true" applyProtection="false">
      <alignment horizontal="general" vertical="bottom" textRotation="0" wrapText="false" indent="0" shrinkToFit="false"/>
      <protection locked="true" hidden="false"/>
    </xf>
    <xf applyNumberFormat="true" applyFill="false" numFmtId="167" fontId="8" fillId="0" borderId="1" xfId="0" applyFont="true" applyBorder="true" applyAlignment="true" applyProtection="false">
      <alignment horizontal="general" vertical="bottom" textRotation="0" wrapText="false" indent="0" shrinkToFit="false"/>
      <protection locked="true" hidden="false"/>
    </xf>
    <xf applyNumberFormat="true" applyFill="false" numFmtId="166" fontId="8" fillId="0" borderId="1" xfId="0" applyFont="true" applyBorder="true" applyAlignment="true" applyProtection="false">
      <alignment horizontal="general" vertical="bottom" textRotation="0" wrapText="false" indent="0" shrinkToFit="false"/>
      <protection locked="true" hidden="false"/>
    </xf>
    <xf applyNumberFormat="true" applyFill="true" numFmtId="164" fontId="8" fillId="5" borderId="1" xfId="0" applyFont="true" applyBorder="true" applyAlignment="true" applyProtection="false">
      <alignment horizontal="general" vertical="bottom" textRotation="0" wrapText="false" indent="0" shrinkToFit="false"/>
      <protection locked="true" hidden="false"/>
    </xf>
    <xf applyNumberFormat="true" applyFill="true" numFmtId="164" fontId="8" fillId="6" borderId="1" xfId="0" applyFont="true" applyBorder="true" applyAlignment="true" applyProtection="false">
      <alignment horizontal="general" vertical="bottom" textRotation="0" wrapText="false" indent="0" shrinkToFit="false"/>
      <protection locked="true" hidden="false"/>
    </xf>
    <xf applyNumberFormat="true" applyFill="true" numFmtId="164" fontId="8" fillId="7" borderId="1" xfId="0" applyFont="true" applyBorder="true" applyAlignment="true" applyProtection="false">
      <alignment horizontal="general" vertical="bottom" textRotation="0" wrapText="false" indent="0" shrinkToFit="false"/>
      <protection locked="true" hidden="false"/>
    </xf>
    <xf applyNumberFormat="true" applyFill="true" numFmtId="164" fontId="8" fillId="8" borderId="1" xfId="0" applyFont="true" applyBorder="true" applyAlignment="true" applyProtection="false">
      <alignment horizontal="general" vertical="bottom" textRotation="0" wrapText="false" indent="0" shrinkToFit="false"/>
      <protection locked="true" hidden="false"/>
    </xf>
    <xf applyNumberFormat="true" applyFill="true" numFmtId="164" fontId="8" fillId="9" borderId="1" xfId="0" applyFont="true" applyBorder="true" applyAlignment="true" applyProtection="false">
      <alignment horizontal="general" vertical="bottom" textRotation="0" wrapText="false" indent="0" shrinkToFit="false"/>
      <protection locked="true" hidden="false"/>
    </xf>
    <xf applyNumberFormat="true" applyFill="true" numFmtId="164" fontId="7" fillId="2" borderId="1" xfId="0" applyFont="true" applyBorder="true" applyAlignment="true" applyProtection="false">
      <alignment horizontal="general" vertical="bottom" textRotation="0" wrapText="false" indent="0" shrinkToFit="false"/>
      <protection locked="true" hidden="false"/>
    </xf>
    <xf applyNumberFormat="true" applyFill="false" numFmtId="167" fontId="10" fillId="0" borderId="0" xfId="0" applyFont="true" applyBorder="false" applyAlignment="true" applyProtection="false">
      <alignment horizontal="general" vertical="bottom" textRotation="0" wrapText="false" indent="0" shrinkToFit="false"/>
      <protection locked="true" hidden="false"/>
    </xf>
    <xf applyNumberFormat="true" applyFill="false" numFmtId="164" fontId="6" fillId="0" borderId="1" xfId="0" applyFont="true" applyBorder="true" applyAlignment="true" applyProtection="false">
      <alignment horizontal="general" vertical="top" textRotation="0" wrapText="true" indent="0" shrinkToFit="false"/>
      <protection locked="true" hidden="false"/>
    </xf>
    <xf applyNumberFormat="true" applyFill="false" numFmtId="164" fontId="8" fillId="0" borderId="1" xfId="0" applyFont="true" applyBorder="true" applyAlignment="true" applyProtection="false">
      <alignment horizontal="general" vertical="top" textRotation="0" wrapText="true" indent="0" shrinkToFit="false"/>
      <protection locked="true" hidden="false"/>
    </xf>
    <xf applyNumberFormat="true" applyFill="false" numFmtId="165" fontId="8" fillId="0" borderId="1" xfId="0" applyFont="true" applyBorder="true" applyAlignment="true" applyProtection="false">
      <alignment horizontal="left" vertical="bottom" textRotation="0" wrapText="false" indent="0" shrinkToFit="false"/>
      <protection locked="true" hidden="false"/>
    </xf>
    <xf applyNumberFormat="true" applyFill="false" numFmtId="164" fontId="11" fillId="0" borderId="1" xfId="0" applyFont="true" applyBorder="true" applyAlignment="true" applyProtection="false">
      <alignment horizontal="general" vertical="top" textRotation="0" wrapText="true" indent="0" shrinkToFit="false"/>
      <protection locked="true" hidden="false"/>
    </xf>
    <xf applyNumberFormat="true" applyFill="false" numFmtId="164" fontId="6" fillId="0" borderId="1" xfId="0" applyFont="true" applyBorder="true" applyAlignment="true" applyProtection="false">
      <alignment horizontal="general" vertical="bottom" textRotation="0" wrapText="false" indent="0" shrinkToFit="false"/>
      <protection locked="true" hidden="false"/>
    </xf>
    <xf applyNumberFormat="true" applyFill="false" numFmtId="164" fontId="12" fillId="0" borderId="1" xfId="0" applyFont="true" applyBorder="true" applyAlignment="true" applyProtection="false">
      <alignment horizontal="general" vertical="bottom" textRotation="0" wrapText="false" indent="0" shrinkToFit="false"/>
      <protection locked="true" hidden="false"/>
    </xf>
    <xf applyNumberFormat="true" applyFill="false" numFmtId="164" fontId="12" fillId="0" borderId="1" xfId="0" applyFont="true" applyBorder="true" applyAlignment="true" applyProtection="false">
      <alignment horizontal="general" vertical="top" textRotation="0" wrapText="true" indent="0" shrinkToFit="false"/>
      <protection locked="true" hidden="false"/>
    </xf>
    <xf applyNumberFormat="true" applyFill="true" numFmtId="164" fontId="7" fillId="2" borderId="1" xfId="0" applyFont="true" applyBorder="true" applyAlignment="true" applyProtection="false">
      <alignment horizontal="general" vertical="top" textRotation="0" wrapText="true" indent="0" shrinkToFit="false"/>
      <protection locked="true" hidden="false"/>
    </xf>
    <xf applyNumberFormat="true" applyFill="true" numFmtId="164" fontId="8" fillId="4" borderId="1" xfId="0" applyFont="true" applyBorder="true" applyAlignment="true" applyProtection="false">
      <alignment horizontal="general" vertical="top" textRotation="0" wrapText="true" indent="0" shrinkToFit="false"/>
      <protection locked="true" hidden="false"/>
    </xf>
    <xf applyNumberFormat="true" applyFill="false" numFmtId="165" fontId="8" fillId="0" borderId="1" xfId="0" applyFont="true" applyBorder="true" applyAlignment="true" applyProtection="false">
      <alignment horizontal="general" vertical="top" textRotation="0" wrapText="true" indent="0" shrinkToFit="false"/>
      <protection locked="true" hidden="false"/>
    </xf>
    <xf applyNumberFormat="true" applyFill="false" numFmtId="164" fontId="7" fillId="0" borderId="1" xfId="0" applyFont="true" applyBorder="true" applyAlignment="true" applyProtection="false">
      <alignment horizontal="general" vertical="top" textRotation="0" wrapText="true" indent="0" shrinkToFit="false"/>
      <protection locked="true" hidden="false"/>
    </xf>
    <xf applyNumberFormat="true" applyFill="true" numFmtId="164" fontId="8" fillId="5" borderId="1" xfId="0" applyFont="true" applyBorder="true" applyAlignment="true" applyProtection="false">
      <alignment horizontal="general" vertical="top" textRotation="0" wrapText="true" indent="0" shrinkToFit="false"/>
      <protection locked="true" hidden="false"/>
    </xf>
    <xf applyNumberFormat="true" applyFill="true" numFmtId="164" fontId="8" fillId="6" borderId="1" xfId="0" applyFont="true" applyBorder="true" applyAlignment="true" applyProtection="false">
      <alignment horizontal="general" vertical="top" textRotation="0" wrapText="true" indent="0" shrinkToFit="false"/>
      <protection locked="true" hidden="false"/>
    </xf>
    <xf applyNumberFormat="true" applyFill="true" numFmtId="164" fontId="8" fillId="7" borderId="1" xfId="0" applyFont="true" applyBorder="true" applyAlignment="true" applyProtection="false">
      <alignment horizontal="general" vertical="top" textRotation="0" wrapText="true" indent="0" shrinkToFit="false"/>
      <protection locked="true" hidden="false"/>
    </xf>
    <xf applyNumberFormat="true" applyFill="true" numFmtId="164" fontId="8" fillId="8" borderId="1" xfId="0" applyFont="true" applyBorder="true" applyAlignment="true" applyProtection="false">
      <alignment horizontal="general" vertical="top" textRotation="0" wrapText="true" indent="0" shrinkToFit="false"/>
      <protection locked="true" hidden="false"/>
    </xf>
    <xf applyNumberFormat="true" applyFill="true" numFmtId="164" fontId="8" fillId="9" borderId="1" xfId="0" applyFont="true" applyBorder="true" applyAlignment="true" applyProtection="false">
      <alignment horizontal="general" vertical="top" textRotation="0" wrapText="true" indent="0" shrinkToFit="false"/>
      <protection locked="true" hidden="false"/>
    </xf>
    <xf applyNumberFormat="true" applyFill="true" numFmtId="165" fontId="7" fillId="2" borderId="1" xfId="0" applyFont="true" applyBorder="true" applyAlignment="true" applyProtection="false">
      <alignment horizontal="general" vertical="top" textRotation="0" wrapText="true" indent="0" shrinkToFit="false"/>
      <protection locked="true" hidden="false"/>
    </xf>
    <xf applyNumberFormat="true" applyFill="true" numFmtId="166" fontId="7" fillId="2" borderId="1" xfId="0" applyFont="true" applyBorder="true" applyAlignment="true" applyProtection="false">
      <alignment horizontal="general" vertical="top" textRotation="0" wrapText="true" indent="0" shrinkToFit="false"/>
      <protection locked="true" hidden="false"/>
    </xf>
    <xf applyNumberFormat="true" applyFill="false" numFmtId="165" fontId="8"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EB9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563C1"/>
      <rgbColor rgb="FFE4DFEC"/>
      <rgbColor rgb="FF000080"/>
      <rgbColor rgb="FFFF00FF"/>
      <rgbColor rgb="FFFFFF00"/>
      <rgbColor rgb="FF00FFFF"/>
      <rgbColor rgb="FF800080"/>
      <rgbColor rgb="FF800000"/>
      <rgbColor rgb="FF008080"/>
      <rgbColor rgb="FF0000FF"/>
      <rgbColor rgb="FF00CCFF"/>
      <rgbColor rgb="FFE2EFDA"/>
      <rgbColor rgb="FFC6EFCE"/>
      <rgbColor rgb="FFFFEB9C"/>
      <rgbColor rgb="FF99CCFF"/>
      <rgbColor rgb="FFFCE4D6"/>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learn.snowflake.com/en/certifications/snowpro-core-c03" TargetMode="External"/><Relationship Id="rId2" Type="http://schemas.openxmlformats.org/officeDocument/2006/relationships/hyperlink" Target="https://github.com/" TargetMode="External"/><Relationship Id="rId3" Type="http://schemas.openxmlformats.org/officeDocument/2006/relationships/hyperlink" Target="https://www.python.org/downloads/" TargetMode="External"/><Relationship Id="rId4" Type="http://schemas.openxmlformats.org/officeDocument/2006/relationships/hyperlink" Target="https://docs.docker.com/get-docker/" TargetMode="External"/><Relationship Id="rId5" Type="http://schemas.openxmlformats.org/officeDocument/2006/relationships/hyperlink" Target="https://signup.snowflake.com/" TargetMode="External"/><Relationship Id="rId6" Type="http://schemas.openxmlformats.org/officeDocument/2006/relationships/hyperlink" Target="https://cloud.google.com/free"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coginiti.co/learning/data-modeling/dimensional-modeling-star-schema/" TargetMode="External"/><Relationship Id="rId2" Type="http://schemas.openxmlformats.org/officeDocument/2006/relationships/hyperlink" Target="https://learn.microsoft.com/power-bi/guidance/star-schema" TargetMode="External"/><Relationship Id="rId3" Type="http://schemas.openxmlformats.org/officeDocument/2006/relationships/hyperlink" Target="https://learn.getdbt.com/" TargetMode="External"/><Relationship Id="rId4" Type="http://schemas.openxmlformats.org/officeDocument/2006/relationships/hyperlink" Target="https://docs.getdbt.com/docs/build/snapshots" TargetMode="External"/><Relationship Id="rId5" Type="http://schemas.openxmlformats.org/officeDocument/2006/relationships/hyperlink" Target="https://www.kimballgroup.com/data-warehouse-business-intelligence-resources/kimball-techniques/dimensional-modeling-techniques/" TargetMode="External"/><Relationship Id="rId6" Type="http://schemas.openxmlformats.org/officeDocument/2006/relationships/hyperlink" Target="https://dev.to/gowthampotureddi/data-vault-2-0-for-data-engineering-hubs-links-satellites-hash-keys-automation-4bah" TargetMode="External"/><Relationship Id="rId7" Type="http://schemas.openxmlformats.org/officeDocument/2006/relationships/hyperlink" Target="https://automate-dv.readthedocs.io/en/latest/worked_example/" TargetMode="External"/><Relationship Id="rId8" Type="http://schemas.openxmlformats.org/officeDocument/2006/relationships/hyperlink" Target="https://adr.github.io/" TargetMode="External"/><Relationship Id="rId9" Type="http://schemas.openxmlformats.org/officeDocument/2006/relationships/hyperlink" Target="https://learn.snowflake.com/en/certifications/snowpro-core-c03" TargetMode="External"/><Relationship Id="rId10" Type="http://schemas.openxmlformats.org/officeDocument/2006/relationships/hyperlink" Target="https://docs.snowflake.com/" TargetMode="External"/><Relationship Id="rId11" Type="http://schemas.openxmlformats.org/officeDocument/2006/relationships/hyperlink" Target="https://learn.snowflake.com/en/pages/hands-on-essentials-track" TargetMode="External"/><Relationship Id="rId12" Type="http://schemas.openxmlformats.org/officeDocument/2006/relationships/hyperlink" Target="https://docs.snowflake.com/en/user-guide/security-column-intro" TargetMode="External"/><Relationship Id="rId13" Type="http://schemas.openxmlformats.org/officeDocument/2006/relationships/hyperlink" Target="https://docs.snowflake.com/" TargetMode="External"/><Relationship Id="rId14" Type="http://schemas.openxmlformats.org/officeDocument/2006/relationships/hyperlink" Target="https://learn.snowflake.com/en/certifications/snowpro-core-c03" TargetMode="External"/><Relationship Id="rId15" Type="http://schemas.openxmlformats.org/officeDocument/2006/relationships/hyperlink" Target="https://learn.snowflake.com/en/certifications/snowpro-core-c03" TargetMode="External"/><Relationship Id="rId16" Type="http://schemas.openxmlformats.org/officeDocument/2006/relationships/hyperlink" Target="https://docs.snowflake.com/" TargetMode="External"/><Relationship Id="rId17" Type="http://schemas.openxmlformats.org/officeDocument/2006/relationships/hyperlink" Target="https://learn.snowflake.com/courses/course-v1:snowflake+SPSG-ARA+A/about" TargetMode="External"/><Relationship Id="rId18" Type="http://schemas.openxmlformats.org/officeDocument/2006/relationships/hyperlink" Target="https://docs.snowflake.com/" TargetMode="External"/><Relationship Id="rId19" Type="http://schemas.openxmlformats.org/officeDocument/2006/relationships/hyperlink" Target="https://www.oreilly.com/library/view/-/9781484292624/" TargetMode="External"/><Relationship Id="rId20" Type="http://schemas.openxmlformats.org/officeDocument/2006/relationships/hyperlink" Target="https://docs.snowflake.com/en/user-guide/security-column-intro" TargetMode="External"/><Relationship Id="rId21" Type="http://schemas.openxmlformats.org/officeDocument/2006/relationships/hyperlink" Target="https://docs.snowflake.com/" TargetMode="External"/><Relationship Id="rId22" Type="http://schemas.openxmlformats.org/officeDocument/2006/relationships/hyperlink" Target="https://learn.snowflake.com/courses/course-v1:snowflake+SPSG-ARA+A/about" TargetMode="External"/><Relationship Id="rId23" Type="http://schemas.openxmlformats.org/officeDocument/2006/relationships/hyperlink" Target="https://quickstarts.snowflake.com/" TargetMode="External"/><Relationship Id="rId24" Type="http://schemas.openxmlformats.org/officeDocument/2006/relationships/hyperlink" Target="https://learn.snowflake.com/en/pages/hands-on-essentials-track" TargetMode="External"/><Relationship Id="rId25" Type="http://schemas.openxmlformats.org/officeDocument/2006/relationships/hyperlink" Target="https://docs.snowflake.com/" TargetMode="External"/><Relationship Id="rId26" Type="http://schemas.openxmlformats.org/officeDocument/2006/relationships/hyperlink" Target="https://docs.snowflake.com/" TargetMode="External"/><Relationship Id="rId27" Type="http://schemas.openxmlformats.org/officeDocument/2006/relationships/hyperlink" Target="https://docs.snowflake.com/en/user-guide/sample-data" TargetMode="External"/><Relationship Id="rId28" Type="http://schemas.openxmlformats.org/officeDocument/2006/relationships/hyperlink" Target="https://automate-dv.readthedocs.io/en/latest/worked_example/" TargetMode="External"/><Relationship Id="rId29" Type="http://schemas.openxmlformats.org/officeDocument/2006/relationships/hyperlink" Target="https://docs.snowflake.com/en/user-guide/dynamic-tables-about" TargetMode="External"/><Relationship Id="rId30" Type="http://schemas.openxmlformats.org/officeDocument/2006/relationships/hyperlink" Target="https://learn.snowflake.com/en/pages/hands-on-essentials-track" TargetMode="External"/><Relationship Id="rId31" Type="http://schemas.openxmlformats.org/officeDocument/2006/relationships/hyperlink" Target="https://iceberg.apache.org/docs/latest/" TargetMode="External"/><Relationship Id="rId32" Type="http://schemas.openxmlformats.org/officeDocument/2006/relationships/hyperlink" Target="https://learn.snowflake.com/courses/course-v1:snowflake+SPSG-ARA+A/about" TargetMode="External"/><Relationship Id="rId33" Type="http://schemas.openxmlformats.org/officeDocument/2006/relationships/hyperlink" Target="https://learn.snowflake.com/" TargetMode="External"/><Relationship Id="rId34" Type="http://schemas.openxmlformats.org/officeDocument/2006/relationships/hyperlink" Target="https://www.skills.google/paths/16" TargetMode="External"/><Relationship Id="rId35" Type="http://schemas.openxmlformats.org/officeDocument/2006/relationships/hyperlink" Target="https://discuss.google.dev/t/your-guide-to-preparing-for-the-google-cloud-professional-data-engineer-certification/107505" TargetMode="External"/><Relationship Id="rId36" Type="http://schemas.openxmlformats.org/officeDocument/2006/relationships/hyperlink" Target="https://cloud.google.com/learn/certification/data-engineer" TargetMode="External"/><Relationship Id="rId37" Type="http://schemas.openxmlformats.org/officeDocument/2006/relationships/hyperlink" Target="https://www.skills.google/paths/16" TargetMode="External"/><Relationship Id="rId38" Type="http://schemas.openxmlformats.org/officeDocument/2006/relationships/hyperlink" Target="https://cloud.google.com/pubsub/docs" TargetMode="External"/><Relationship Id="rId39" Type="http://schemas.openxmlformats.org/officeDocument/2006/relationships/hyperlink" Target="https://cloud.google.com/dataflow/docs" TargetMode="External"/><Relationship Id="rId40" Type="http://schemas.openxmlformats.org/officeDocument/2006/relationships/hyperlink" Target="https://www.skills.google/paths/16" TargetMode="External"/><Relationship Id="rId41" Type="http://schemas.openxmlformats.org/officeDocument/2006/relationships/hyperlink" Target="https://airflow.apache.org/docs/" TargetMode="External"/><Relationship Id="rId42" Type="http://schemas.openxmlformats.org/officeDocument/2006/relationships/hyperlink" Target="https://www.skills.google/paths/16" TargetMode="External"/><Relationship Id="rId43" Type="http://schemas.openxmlformats.org/officeDocument/2006/relationships/hyperlink" Target="https://cloud.google.com/dataplex/docs" TargetMode="External"/><Relationship Id="rId44" Type="http://schemas.openxmlformats.org/officeDocument/2006/relationships/hyperlink" Target="https://cloud.google.com/sensitive-data-protection/docs" TargetMode="External"/><Relationship Id="rId45" Type="http://schemas.openxmlformats.org/officeDocument/2006/relationships/hyperlink" Target="https://cloud.google.com/learn/certification/data-engineer" TargetMode="External"/><Relationship Id="rId46" Type="http://schemas.openxmlformats.org/officeDocument/2006/relationships/hyperlink" Target="https://cloud.google.com/bigquery/docs" TargetMode="External"/><Relationship Id="rId47" Type="http://schemas.openxmlformats.org/officeDocument/2006/relationships/hyperlink" Target="https://docs.getdbt.com/docs/build/data-tests" TargetMode="External"/><Relationship Id="rId48" Type="http://schemas.openxmlformats.org/officeDocument/2006/relationships/hyperlink" Target="https://docs.open-metadata.org/" TargetMode="External"/><Relationship Id="rId49" Type="http://schemas.openxmlformats.org/officeDocument/2006/relationships/hyperlink" Target="https://openlineage.io/" TargetMode="External"/><Relationship Id="rId50" Type="http://schemas.openxmlformats.org/officeDocument/2006/relationships/hyperlink" Target="https://www.dama.org/" TargetMode="External"/><Relationship Id="rId51" Type="http://schemas.openxmlformats.org/officeDocument/2006/relationships/hyperlink" Target="https://www.udemy.com/course/do-it-yourself-cdmp-exam-preparation-dmbokv2-summary-notes/" TargetMode="External"/><Relationship Id="rId52" Type="http://schemas.openxmlformats.org/officeDocument/2006/relationships/hyperlink" Target="https://cdmp.info/" TargetMode="External"/><Relationship Id="rId53" Type="http://schemas.openxmlformats.org/officeDocument/2006/relationships/hyperlink" Target="https://anthropic.skilljar.com/introduction-to-model-context-protocol/296690" TargetMode="External"/><Relationship Id="rId54" Type="http://schemas.openxmlformats.org/officeDocument/2006/relationships/hyperlink" Target="https://learn.deeplearning.ai/courses/mcp-build-rich-context-ai-apps-with-anthropic/information" TargetMode="External"/><Relationship Id="rId55" Type="http://schemas.openxmlformats.org/officeDocument/2006/relationships/hyperlink" Target="https://modelcontextprotocol.io/" TargetMode="External"/><Relationship Id="rId56" Type="http://schemas.openxmlformats.org/officeDocument/2006/relationships/hyperlink" Target="https://www.udemy.com/course/cdmp-data-management-exam-prep-800-practice-questions/" TargetMode="External"/><Relationship Id="rId57" Type="http://schemas.openxmlformats.org/officeDocument/2006/relationships/hyperlink" Target="https://cdmp.info/" TargetMode="External"/><Relationship Id="rId58" Type="http://schemas.openxmlformats.org/officeDocument/2006/relationships/hyperlink" Target="https://c4model.com/" TargetMode="External"/><Relationship Id="rId59" Type="http://schemas.openxmlformats.org/officeDocument/2006/relationships/hyperlink" Target="https://adr.github.io/" TargetMode="External"/><Relationship Id="rId60" Type="http://schemas.openxmlformats.org/officeDocument/2006/relationships/hyperlink" Target="https://adr.github.io/"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coginiti.co/learning/data-modeling/dimensional-modeling-star-schema/" TargetMode="External"/><Relationship Id="rId2" Type="http://schemas.openxmlformats.org/officeDocument/2006/relationships/hyperlink" Target="https://learn.microsoft.com/power-bi/guidance/star-schema" TargetMode="External"/><Relationship Id="rId3" Type="http://schemas.openxmlformats.org/officeDocument/2006/relationships/hyperlink" Target="https://www.kimballgroup.com/data-warehouse-business-intelligence-resources/kimball-techniques/dimensional-modeling-techniques/" TargetMode="External"/><Relationship Id="rId4" Type="http://schemas.openxmlformats.org/officeDocument/2006/relationships/hyperlink" Target="https://learn.getdbt.com/" TargetMode="External"/><Relationship Id="rId5" Type="http://schemas.openxmlformats.org/officeDocument/2006/relationships/hyperlink" Target="https://docs.getdbt.com/docs/build/snapshots" TargetMode="External"/><Relationship Id="rId6" Type="http://schemas.openxmlformats.org/officeDocument/2006/relationships/hyperlink" Target="https://dev.to/gowthampotureddi/data-vault-2-0-for-data-engineering-hubs-links-satellites-hash-keys-automation-4bah" TargetMode="External"/><Relationship Id="rId7" Type="http://schemas.openxmlformats.org/officeDocument/2006/relationships/hyperlink" Target="https://automate-dv.readthedocs.io/en/latest/worked_example/" TargetMode="External"/><Relationship Id="rId8" Type="http://schemas.openxmlformats.org/officeDocument/2006/relationships/hyperlink" Target="https://learn.snowflake.com/en/certifications/snowpro-core-c03" TargetMode="External"/><Relationship Id="rId9" Type="http://schemas.openxmlformats.org/officeDocument/2006/relationships/hyperlink" Target="https://docs.snowflake.com/" TargetMode="External"/><Relationship Id="rId10" Type="http://schemas.openxmlformats.org/officeDocument/2006/relationships/hyperlink" Target="https://learn.snowflake.com/en/pages/hands-on-essentials-track" TargetMode="External"/><Relationship Id="rId11" Type="http://schemas.openxmlformats.org/officeDocument/2006/relationships/hyperlink" Target="https://www.udemy.com/course/snowflake-core-cof-c03-certification-practice-tests/" TargetMode="External"/><Relationship Id="rId12" Type="http://schemas.openxmlformats.org/officeDocument/2006/relationships/hyperlink" Target="https://www.udemy.com/course/5-practice-exams-cof-c02-snowflake-core-certification" TargetMode="External"/><Relationship Id="rId13" Type="http://schemas.openxmlformats.org/officeDocument/2006/relationships/hyperlink" Target="https://www.udemy.com/course/snowpro-core-certification-exam-practice-tests/" TargetMode="External"/><Relationship Id="rId14" Type="http://schemas.openxmlformats.org/officeDocument/2006/relationships/hyperlink" Target="https://learn.snowflake.com/courses/course-v1:snowflake+SPSG-ARA+A/about" TargetMode="External"/><Relationship Id="rId15" Type="http://schemas.openxmlformats.org/officeDocument/2006/relationships/hyperlink" Target="https://docs.snowflake.com/" TargetMode="External"/><Relationship Id="rId16" Type="http://schemas.openxmlformats.org/officeDocument/2006/relationships/hyperlink" Target="https://quickstarts.snowflake.com/" TargetMode="External"/><Relationship Id="rId17" Type="http://schemas.openxmlformats.org/officeDocument/2006/relationships/hyperlink" Target="https://www.oreilly.com/library/view/-/9781484292624/" TargetMode="External"/><Relationship Id="rId18" Type="http://schemas.openxmlformats.org/officeDocument/2006/relationships/hyperlink" Target="https://www.skills.google/paths/16" TargetMode="External"/><Relationship Id="rId19" Type="http://schemas.openxmlformats.org/officeDocument/2006/relationships/hyperlink" Target="https://discuss.google.dev/t/your-guide-to-preparing-for-the-google-cloud-professional-data-engineer-certification/107505" TargetMode="External"/><Relationship Id="rId20" Type="http://schemas.openxmlformats.org/officeDocument/2006/relationships/hyperlink" Target="https://cloud.google.com/learn/certification/data-engineer" TargetMode="External"/><Relationship Id="rId21" Type="http://schemas.openxmlformats.org/officeDocument/2006/relationships/hyperlink" Target="https://cloud.google.com/pubsub/docs" TargetMode="External"/><Relationship Id="rId22" Type="http://schemas.openxmlformats.org/officeDocument/2006/relationships/hyperlink" Target="https://airflow.apache.org/docs/" TargetMode="External"/><Relationship Id="rId23" Type="http://schemas.openxmlformats.org/officeDocument/2006/relationships/hyperlink" Target="https://cloud.google.com/dataplex/docs" TargetMode="External"/><Relationship Id="rId24" Type="http://schemas.openxmlformats.org/officeDocument/2006/relationships/hyperlink" Target="https://docs.getdbt.com/docs/build/data-tests" TargetMode="External"/><Relationship Id="rId25" Type="http://schemas.openxmlformats.org/officeDocument/2006/relationships/hyperlink" Target="https://docs.open-metadata.org/" TargetMode="External"/><Relationship Id="rId26" Type="http://schemas.openxmlformats.org/officeDocument/2006/relationships/hyperlink" Target="https://openlineage.io/" TargetMode="External"/><Relationship Id="rId27" Type="http://schemas.openxmlformats.org/officeDocument/2006/relationships/hyperlink" Target="https://www.dama.org/" TargetMode="External"/><Relationship Id="rId28" Type="http://schemas.openxmlformats.org/officeDocument/2006/relationships/hyperlink" Target="https://cdmp.info/" TargetMode="External"/><Relationship Id="rId29" Type="http://schemas.openxmlformats.org/officeDocument/2006/relationships/hyperlink" Target="https://www.udemy.com/course/do-it-yourself-cdmp-exam-preparation-dmbokv2-summary-notes/" TargetMode="External"/><Relationship Id="rId30" Type="http://schemas.openxmlformats.org/officeDocument/2006/relationships/hyperlink" Target="https://www.udemy.com/course/cdmp-data-management-exam-prep-800-practice-questions/" TargetMode="External"/><Relationship Id="rId31" Type="http://schemas.openxmlformats.org/officeDocument/2006/relationships/hyperlink" Target="https://anthropic.skilljar.com/introduction-to-model-context-protocol/296690" TargetMode="External"/><Relationship Id="rId32" Type="http://schemas.openxmlformats.org/officeDocument/2006/relationships/hyperlink" Target="https://learn.deeplearning.ai/courses/mcp-build-rich-context-ai-apps-with-anthropic/information" TargetMode="External"/><Relationship Id="rId33" Type="http://schemas.openxmlformats.org/officeDocument/2006/relationships/hyperlink" Target="https://modelcontextprotocol.io/" TargetMode="External"/><Relationship Id="rId34" Type="http://schemas.openxmlformats.org/officeDocument/2006/relationships/hyperlink" Target="https://www.cnil.fr/" TargetMode="External"/><Relationship Id="rId35" Type="http://schemas.openxmlformats.org/officeDocument/2006/relationships/hyperlink" Target="https://c4model.com/" TargetMode="External"/><Relationship Id="rId36" Type="http://schemas.openxmlformats.org/officeDocument/2006/relationships/hyperlink" Target="https://adr.github.io/" TargetMode="External"/>
</Relationships>
</file>

<file path=xl/worksheets/_rels/sheet10.xml.rels><?xml version="1.0" encoding="UTF-8"?>
<Relationships xmlns="http://schemas.openxmlformats.org/package/2006/relationships"><Relationship Id="rId1" Type="http://schemas.openxmlformats.org/officeDocument/2006/relationships/hyperlink" Target="https://learn.snowflake.com/" TargetMode="External"/><Relationship Id="rId2" Type="http://schemas.openxmlformats.org/officeDocument/2006/relationships/hyperlink" Target="https://cloud.google.com/learn/certification/data-engineer" TargetMode="External"/><Relationship Id="rId3" Type="http://schemas.openxmlformats.org/officeDocument/2006/relationships/hyperlink" Target="https://cdmp.info/" TargetMode="External"/><Relationship Id="rId4" Type="http://schemas.openxmlformats.org/officeDocument/2006/relationships/hyperlink" Target="https://learn.snowflake.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48"/>
    <col collapsed="false" customWidth="true" hidden="false" outlineLevel="0" max="4" min="4" style="0" width="18"/>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n">
        <v>46314</v>
      </c>
      <c r="C4" s="2" t="s">
        <v>3</v>
      </c>
    </row>
    <row r="5" customFormat="false" ht="15" hidden="false" customHeight="false" outlineLevel="0" collapsed="false">
      <c r="A5" s="3" t="s">
        <v>4</v>
      </c>
      <c r="B5" s="5" t="n">
        <v>0.8</v>
      </c>
      <c r="C5" s="2" t="s">
        <v>5</v>
      </c>
    </row>
    <row r="6" customFormat="false" ht="15" hidden="false" customHeight="false" outlineLevel="0" collapsed="false">
      <c r="A6" s="3" t="s">
        <v>6</v>
      </c>
    </row>
    <row r="7" customFormat="false" ht="15" hidden="false" customHeight="false" outlineLevel="0" collapsed="false">
      <c r="A7" s="6" t="s">
        <v>7</v>
      </c>
      <c r="B7" s="7" t="n">
        <f aca="false">COUNTIF('Weekly Plan'!N2:N24,"Done")</f>
        <v>0</v>
      </c>
    </row>
    <row r="8" customFormat="false" ht="15" hidden="false" customHeight="false" outlineLevel="0" collapsed="false">
      <c r="A8" s="6" t="s">
        <v>8</v>
      </c>
      <c r="B8" s="7" t="n">
        <f aca="false">COUNTA('Weekly Plan'!A2:A24)</f>
        <v>23</v>
      </c>
    </row>
    <row r="9" customFormat="false" ht="15" hidden="false" customHeight="false" outlineLevel="0" collapsed="false">
      <c r="A9" s="6" t="s">
        <v>9</v>
      </c>
      <c r="B9" s="8" t="n">
        <f aca="false">IF(B8=0,0,B7/B8)</f>
        <v>0</v>
      </c>
    </row>
    <row r="10" customFormat="false" ht="15" hidden="false" customHeight="false" outlineLevel="0" collapsed="false">
      <c r="A10" s="6" t="s">
        <v>10</v>
      </c>
      <c r="B10" s="9" t="n">
        <f aca="false">'Weekly Plan'!L25</f>
        <v>94</v>
      </c>
    </row>
    <row r="11" customFormat="false" ht="15" hidden="false" customHeight="false" outlineLevel="0" collapsed="false">
      <c r="A11" s="6" t="s">
        <v>11</v>
      </c>
      <c r="B11" s="9" t="n">
        <f aca="false">'Weekly Plan'!M25</f>
        <v>136</v>
      </c>
    </row>
    <row r="12" customFormat="false" ht="15" hidden="false" customHeight="false" outlineLevel="0" collapsed="false">
      <c r="A12" s="6" t="s">
        <v>12</v>
      </c>
      <c r="B12" s="8" t="n">
        <f aca="false">IF(B10+B11=0,0,B11/(B10+B11))</f>
        <v>0.591304347826087</v>
      </c>
    </row>
    <row r="13" customFormat="false" ht="15" hidden="false" customHeight="false" outlineLevel="0" collapsed="false">
      <c r="A13" s="6" t="s">
        <v>13</v>
      </c>
      <c r="B13" s="9" t="n">
        <f aca="false">'Weekly Plan'!O25</f>
        <v>0</v>
      </c>
    </row>
    <row r="14" customFormat="false" ht="15" hidden="false" customHeight="false" outlineLevel="0" collapsed="false">
      <c r="A14" s="6" t="s">
        <v>14</v>
      </c>
      <c r="B14" s="10" t="n">
        <f aca="false">B4+B8*7-1</f>
        <v>46474</v>
      </c>
    </row>
    <row r="15" customFormat="false" ht="15" hidden="false" customHeight="false" outlineLevel="0" collapsed="false">
      <c r="A15" s="6" t="s">
        <v>15</v>
      </c>
      <c r="B15" s="7" t="str">
        <f aca="false">COUNTIF(Deliverables!G2:G31,"Done")&amp;" / "&amp;COUNTA(Deliverables!A2:A31)</f>
        <v>0 / 30</v>
      </c>
    </row>
    <row r="16" customFormat="false" ht="15" hidden="false" customHeight="false" outlineLevel="0" collapsed="false">
      <c r="A16" s="6" t="s">
        <v>16</v>
      </c>
      <c r="B16" s="7" t="str">
        <f aca="false">COUNTIF('Udemy Courses'!J2:J13,"Done")&amp;" / "&amp;COUNTA('Udemy Courses'!A2:A13)</f>
        <v>0 / 12</v>
      </c>
    </row>
    <row r="17" customFormat="false" ht="15" hidden="false" customHeight="false" outlineLevel="0" collapsed="false">
      <c r="A17" s="6" t="s">
        <v>17</v>
      </c>
      <c r="B17" s="7" t="str">
        <f aca="false">COUNTIF(Certifications!E2:E5,"Passed")&amp;" / "&amp;COUNTA(Certifications!A2:A5)</f>
        <v>0 / 4</v>
      </c>
    </row>
    <row r="18" customFormat="false" ht="15" hidden="false" customHeight="false" outlineLevel="0" collapsed="false">
      <c r="A18" s="6" t="s">
        <v>18</v>
      </c>
      <c r="B18" s="7" t="n">
        <f aca="false">COUNTIF('Application Log'!E2:E31,"Applied")+COUNTIF('Application Log'!E2:E31,"Interview")+COUNTIF('Application Log'!E2:E31,"Offer")+COUNTIF('Application Log'!E2:E31,"Rejected")</f>
        <v>0</v>
      </c>
    </row>
    <row r="19" customFormat="false" ht="15" hidden="false" customHeight="false" outlineLevel="0" collapsed="false">
      <c r="A19" s="6" t="s">
        <v>19</v>
      </c>
      <c r="B19" s="7" t="str">
        <f aca="false">COUNTIF(Setup!D2:D11,"Done")&amp;" / "&amp;COUNTA(Setup!B2:B11)</f>
        <v>0 / 10</v>
      </c>
    </row>
    <row r="20" customFormat="false" ht="15" hidden="false" customHeight="false" outlineLevel="0" collapsed="false">
      <c r="A20" s="3" t="s">
        <v>20</v>
      </c>
    </row>
    <row r="21" customFormat="false" ht="15" hidden="false" customHeight="false" outlineLevel="0" collapsed="false">
      <c r="A21" s="11" t="s">
        <v>21</v>
      </c>
      <c r="B21" s="11" t="s">
        <v>7</v>
      </c>
      <c r="C21" s="11" t="s">
        <v>8</v>
      </c>
      <c r="D21" s="11" t="s">
        <v>22</v>
      </c>
    </row>
    <row r="22" customFormat="false" ht="15" hidden="false" customHeight="false" outlineLevel="0" collapsed="false">
      <c r="A22" s="12" t="s">
        <v>23</v>
      </c>
      <c r="B22" s="13" t="n">
        <f aca="false">COUNTIFS('Weekly Plan'!C2:C24,A22,'Weekly Plan'!N2:N24,"Done")</f>
        <v>0</v>
      </c>
      <c r="C22" s="13" t="n">
        <f aca="false">COUNTIF('Weekly Plan'!C2:C24,A22)</f>
        <v>3</v>
      </c>
      <c r="D22" s="14" t="n">
        <f aca="false">IF(C22=0,0,B22/C22)</f>
        <v>0</v>
      </c>
    </row>
    <row r="23" customFormat="false" ht="15" hidden="false" customHeight="false" outlineLevel="0" collapsed="false">
      <c r="A23" s="15" t="s">
        <v>24</v>
      </c>
      <c r="B23" s="13" t="n">
        <f aca="false">COUNTIFS('Weekly Plan'!C2:C24,A23,'Weekly Plan'!N2:N24,"Done")</f>
        <v>0</v>
      </c>
      <c r="C23" s="13" t="n">
        <f aca="false">COUNTIF('Weekly Plan'!C2:C24,A23)</f>
        <v>3</v>
      </c>
      <c r="D23" s="14" t="n">
        <f aca="false">IF(C23=0,0,B23/C23)</f>
        <v>0</v>
      </c>
    </row>
    <row r="24" customFormat="false" ht="15" hidden="false" customHeight="false" outlineLevel="0" collapsed="false">
      <c r="A24" s="16" t="s">
        <v>25</v>
      </c>
      <c r="B24" s="13" t="n">
        <f aca="false">COUNTIFS('Weekly Plan'!C2:C24,A24,'Weekly Plan'!N2:N24,"Done")</f>
        <v>0</v>
      </c>
      <c r="C24" s="13" t="n">
        <f aca="false">COUNTIF('Weekly Plan'!C2:C24,A24)</f>
        <v>6</v>
      </c>
      <c r="D24" s="14" t="n">
        <f aca="false">IF(C24=0,0,B24/C24)</f>
        <v>0</v>
      </c>
    </row>
    <row r="25" customFormat="false" ht="15" hidden="false" customHeight="false" outlineLevel="0" collapsed="false">
      <c r="A25" s="17" t="s">
        <v>26</v>
      </c>
      <c r="B25" s="13" t="n">
        <f aca="false">COUNTIFS('Weekly Plan'!C2:C24,A25,'Weekly Plan'!N2:N24,"Done")</f>
        <v>0</v>
      </c>
      <c r="C25" s="13" t="n">
        <f aca="false">COUNTIF('Weekly Plan'!C2:C24,A25)</f>
        <v>5</v>
      </c>
      <c r="D25" s="14" t="n">
        <f aca="false">IF(C25=0,0,B25/C25)</f>
        <v>0</v>
      </c>
    </row>
    <row r="26" customFormat="false" ht="15" hidden="false" customHeight="false" outlineLevel="0" collapsed="false">
      <c r="A26" s="18" t="s">
        <v>27</v>
      </c>
      <c r="B26" s="13" t="n">
        <f aca="false">COUNTIFS('Weekly Plan'!C2:C24,A26,'Weekly Plan'!N2:N24,"Done")</f>
        <v>0</v>
      </c>
      <c r="C26" s="13" t="n">
        <f aca="false">COUNTIF('Weekly Plan'!C2:C24,A26)</f>
        <v>4</v>
      </c>
      <c r="D26" s="14" t="n">
        <f aca="false">IF(C26=0,0,B26/C26)</f>
        <v>0</v>
      </c>
    </row>
    <row r="27" customFormat="false" ht="15" hidden="false" customHeight="false" outlineLevel="0" collapsed="false">
      <c r="A27" s="19" t="s">
        <v>28</v>
      </c>
      <c r="B27" s="13" t="n">
        <f aca="false">COUNTIFS('Weekly Plan'!C2:C24,A27,'Weekly Plan'!N2:N24,"Done")</f>
        <v>0</v>
      </c>
      <c r="C27" s="13" t="n">
        <f aca="false">COUNTIF('Weekly Plan'!C2:C24,A27)</f>
        <v>2</v>
      </c>
      <c r="D27" s="14" t="n">
        <f aca="false">IF(C27=0,0,B27/C27)</f>
        <v>0</v>
      </c>
    </row>
    <row r="28" customFormat="false" ht="15" hidden="false" customHeight="false" outlineLevel="0" collapsed="false">
      <c r="A28" s="3" t="s">
        <v>29</v>
      </c>
    </row>
    <row r="29" customFormat="false" ht="15" hidden="false" customHeight="false" outlineLevel="0" collapsed="false">
      <c r="A29" s="11" t="s">
        <v>30</v>
      </c>
      <c r="B29" s="11" t="s">
        <v>31</v>
      </c>
      <c r="C29" s="11" t="s">
        <v>32</v>
      </c>
      <c r="D29" s="11" t="s">
        <v>33</v>
      </c>
    </row>
    <row r="30" customFormat="false" ht="15" hidden="false" customHeight="false" outlineLevel="0" collapsed="false">
      <c r="A30" s="13" t="s">
        <v>34</v>
      </c>
      <c r="B30" s="13" t="n">
        <f aca="false">COUNTIF('Practice Exams'!$A$3:$A$41,A30)</f>
        <v>0</v>
      </c>
      <c r="C30" s="14" t="n">
        <f aca="false">SUMPRODUCT(MAX(('Practice Exams'!$A$3:$A$41=A30)*('Practice Exams'!$D$3:$D$41)))</f>
        <v>0</v>
      </c>
      <c r="D30" s="13" t="str">
        <f aca="false">IF(B30=0,"No attempts yet",IF(C30&gt;=$B$5,"Ready to book","Keep practicing"))</f>
        <v>No attempts yet</v>
      </c>
    </row>
    <row r="31" customFormat="false" ht="15" hidden="false" customHeight="false" outlineLevel="0" collapsed="false">
      <c r="A31" s="13" t="s">
        <v>35</v>
      </c>
      <c r="B31" s="13" t="n">
        <f aca="false">COUNTIF('Practice Exams'!$A$3:$A$41,A31)</f>
        <v>0</v>
      </c>
      <c r="C31" s="14" t="n">
        <f aca="false">SUMPRODUCT(MAX(('Practice Exams'!$A$3:$A$41=A31)*('Practice Exams'!$D$3:$D$41)))</f>
        <v>0</v>
      </c>
      <c r="D31" s="13" t="str">
        <f aca="false">IF(B31=0,"No attempts yet",IF(C31&gt;=$B$5,"Ready to book","Keep practicing"))</f>
        <v>No attempts yet</v>
      </c>
    </row>
    <row r="32" customFormat="false" ht="15" hidden="false" customHeight="false" outlineLevel="0" collapsed="false">
      <c r="A32" s="13" t="s">
        <v>36</v>
      </c>
      <c r="B32" s="13" t="n">
        <f aca="false">COUNTIF('Practice Exams'!$A$3:$A$41,A32)</f>
        <v>0</v>
      </c>
      <c r="C32" s="14" t="n">
        <f aca="false">SUMPRODUCT(MAX(('Practice Exams'!$A$3:$A$41=A32)*('Practice Exams'!$D$3:$D$41)))</f>
        <v>0</v>
      </c>
      <c r="D32" s="13" t="str">
        <f aca="false">IF(B32=0,"No attempts yet",IF(C32&gt;=$B$5,"Ready to book","Keep practicing"))</f>
        <v>No attempts yet</v>
      </c>
    </row>
    <row r="33" customFormat="false" ht="15" hidden="false" customHeight="false" outlineLevel="0" collapsed="false">
      <c r="A33" s="13" t="s">
        <v>37</v>
      </c>
      <c r="B33" s="13" t="n">
        <f aca="false">COUNTIF('Practice Exams'!$A$3:$A$41,A33)</f>
        <v>0</v>
      </c>
      <c r="C33" s="14" t="n">
        <f aca="false">SUMPRODUCT(MAX(('Practice Exams'!$A$3:$A$41=A33)*('Practice Exams'!$D$3:$D$41)))</f>
        <v>0</v>
      </c>
      <c r="D33" s="13" t="str">
        <f aca="false">IF(B33=0,"No attempts yet",IF(C33&gt;=$B$5,"Ready to book","Keep practicing"))</f>
        <v>No attempts yet</v>
      </c>
    </row>
    <row r="34" customFormat="false" ht="15" hidden="false" customHeight="false" outlineLevel="0" collapsed="false">
      <c r="A34" s="2" t="s">
        <v>38</v>
      </c>
    </row>
    <row r="35" customFormat="false" ht="15" hidden="false" customHeight="false" outlineLevel="0" collapsed="false">
      <c r="A35" s="2"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95"/>
    <col collapsed="false" customWidth="true" hidden="false" outlineLevel="0" max="3" min="3" style="0" width="10"/>
  </cols>
  <sheetData>
    <row r="1" customFormat="false" ht="17.35" hidden="false" customHeight="false" outlineLevel="0" collapsed="false">
      <c r="A1" s="1" t="s">
        <v>40</v>
      </c>
    </row>
    <row r="3" customFormat="false" ht="15" hidden="false" customHeight="false" outlineLevel="0" collapsed="false">
      <c r="A3" s="3" t="s">
        <v>41</v>
      </c>
      <c r="B3" s="6" t="n">
        <f aca="true">MAX(1,MIN(23,INT((TODAY()-Dashboard!B4)/7)+1))</f>
        <v>1</v>
      </c>
    </row>
    <row r="4" customFormat="false" ht="15" hidden="false" customHeight="false" outlineLevel="0" collapsed="false">
      <c r="A4" s="3" t="s">
        <v>42</v>
      </c>
      <c r="B4" s="20"/>
      <c r="C4" s="2" t="s">
        <v>43</v>
      </c>
    </row>
    <row r="5" customFormat="false" ht="15" hidden="false" customHeight="false" outlineLevel="0" collapsed="false">
      <c r="A5" s="3" t="s">
        <v>44</v>
      </c>
      <c r="B5" s="21" t="n">
        <f aca="false">IF(B4="",B3,B4)</f>
        <v>1</v>
      </c>
    </row>
    <row r="7" customFormat="false" ht="15" hidden="false" customHeight="false" outlineLevel="0" collapsed="false">
      <c r="A7" s="22" t="s">
        <v>21</v>
      </c>
      <c r="B7" s="23" t="str">
        <f aca="false">INDEX('Weekly Plan'!$C$2:$C$24,MATCH($B$5,'Weekly Plan'!$A$2:$A$24,0))&amp;""</f>
        <v>1 Data Modeling</v>
      </c>
    </row>
    <row r="8" customFormat="false" ht="15" hidden="false" customHeight="false" outlineLevel="0" collapsed="false">
      <c r="A8" s="22" t="s">
        <v>45</v>
      </c>
      <c r="B8" s="24" t="n">
        <f aca="false">INDEX('Weekly Plan'!$B$2:$B$24,MATCH($B$5,'Weekly Plan'!$A$2:$A$24,0))</f>
        <v>46314</v>
      </c>
    </row>
    <row r="9" customFormat="false" ht="15" hidden="false" customHeight="false" outlineLevel="0" collapsed="false">
      <c r="A9" s="22" t="s">
        <v>46</v>
      </c>
      <c r="B9" s="23" t="str">
        <f aca="false">INDEX('Weekly Plan'!$D$2:$D$24,MATCH($B$5,'Weekly Plan'!$A$2:$A$24,0))&amp;""</f>
        <v>Dimensional modeling: grain, facts, dimensions, conformed dimensions, bus matrix</v>
      </c>
    </row>
    <row r="10" customFormat="false" ht="15" hidden="false" customHeight="false" outlineLevel="0" collapsed="false">
      <c r="A10" s="22" t="s">
        <v>47</v>
      </c>
      <c r="B10" s="23" t="str">
        <f aca="false">INDEX('Weekly Plan'!$E$2:$E$24,MATCH($B$5,'Weekly Plan'!$A$2:$A$24,0))&amp;""</f>
        <v>Coginiti: Dimensional Modeling and the Star Schema (guide)</v>
      </c>
    </row>
    <row r="11" customFormat="false" ht="15" hidden="false" customHeight="false" outlineLevel="0" collapsed="false">
      <c r="A11" s="22" t="s">
        <v>48</v>
      </c>
      <c r="B11" s="23" t="str">
        <f aca="false">INDEX('Weekly Plan'!$G$2:$G$24,MATCH($B$5,'Weekly Plan'!$A$2:$A$24,0))&amp;""</f>
        <v>OPTIONAL: search 'dimensional modeling Kimball'; watch only the facts, dimensions, grain and bus-matrix sections</v>
      </c>
    </row>
    <row r="12" customFormat="false" ht="23.85" hidden="false" customHeight="false" outlineLevel="0" collapsed="false">
      <c r="A12" s="22" t="s">
        <v>49</v>
      </c>
      <c r="B12" s="23" t="str">
        <f aca="false">INDEX('Weekly Plan'!$H$2:$H$24,MATCH($B$5,'Weekly Plan'!$A$2:$A$24,0))&amp;""</f>
        <v>Create the GitHub repo (folders: docs/, adr/, ingestion/, dbt/, infra/, mcp/). Write the business scenario, requirements and source inventory. Draw the bus matrix for order-to-cash.</v>
      </c>
    </row>
    <row r="13" customFormat="false" ht="15" hidden="false" customHeight="false" outlineLevel="0" collapsed="false">
      <c r="A13" s="22" t="s">
        <v>50</v>
      </c>
      <c r="B13" s="25" t="str">
        <f aca="false">INDEX('Weekly Plan'!$I$2:$I$24,MATCH($B$5,'Weekly Plan'!$A$2:$A$24,0))&amp;""</f>
        <v/>
      </c>
    </row>
    <row r="14" customFormat="false" ht="15" hidden="false" customHeight="false" outlineLevel="0" collapsed="false">
      <c r="A14" s="22" t="s">
        <v>51</v>
      </c>
      <c r="B14" s="23" t="str">
        <f aca="false">INDEX('Weekly Plan'!$J$2:$J$24,MATCH($B$5,'Weekly Plan'!$A$2:$A$24,0))&amp;""</f>
        <v>README and bus matrix are committed</v>
      </c>
    </row>
    <row r="15" customFormat="false" ht="15" hidden="false" customHeight="false" outlineLevel="0" collapsed="false">
      <c r="A15" s="22" t="s">
        <v>52</v>
      </c>
      <c r="B15" s="23" t="str">
        <f aca="false">INDEX('Weekly Plan'!$K$2:$K$24,MATCH($B$5,'Weekly Plan'!$A$2:$A$24,0))&amp;""</f>
        <v>D01, D02</v>
      </c>
    </row>
    <row r="16" customFormat="false" ht="15" hidden="false" customHeight="false" outlineLevel="0" collapsed="false">
      <c r="A16" s="22" t="s">
        <v>53</v>
      </c>
      <c r="B16" s="23" t="str">
        <f aca="false">INDEX('Weekly Plan'!$N$2:$N$24,MATCH($B$5,'Weekly Plan'!$A$2:$A$24,0))&amp;""</f>
        <v>Not started</v>
      </c>
    </row>
    <row r="17" customFormat="false" ht="15" hidden="false" customHeight="false" outlineLevel="0" collapsed="false">
      <c r="A17" s="26" t="s">
        <v>54</v>
      </c>
      <c r="B17" s="27" t="str">
        <f aca="false">HYPERLINK(INDEX('Weekly Plan'!$F$2:$F$24,MATCH($B$5,'Weekly Plan'!$A$2:$A$24,0)),"Open the main link")</f>
        <v>Open the main link</v>
      </c>
    </row>
    <row r="18" customFormat="false" ht="15" hidden="false" customHeight="false" outlineLevel="0" collapsed="false">
      <c r="A18" s="26" t="s">
        <v>55</v>
      </c>
      <c r="B18" s="28" t="str">
        <f aca="false">IF(INDEX('Weekly Plan'!$Q$2:$Q$24,MATCH($B$5,'Weekly Plan'!$A$2:$A$24,0))="","",IF(INDEX('Weekly Plan'!$R$2:$R$24,MATCH($B$5,'Weekly Plan'!$A$2:$A$24,0))="",INDEX('Weekly Plan'!$Q$2:$Q$24,MATCH($B$5,'Weekly Plan'!$A$2:$A$24,0)),HYPERLINK(INDEX('Weekly Plan'!$R$2:$R$24,MATCH($B$5,'Weekly Plan'!$A$2:$A$24,0)),INDEX('Weekly Plan'!$Q$2:$Q$24,MATCH($B$5,'Weekly Plan'!$A$2:$A$24,0)))))</f>
        <v>Microsoft Learn: Understand star schema</v>
      </c>
    </row>
    <row r="19" customFormat="false" ht="15" hidden="false" customHeight="false" outlineLevel="0" collapsed="false">
      <c r="A19" s="26" t="s">
        <v>56</v>
      </c>
      <c r="B19" s="28" t="str">
        <f aca="false">IF(INDEX('Weekly Plan'!$S$2:$S$24,MATCH($B$5,'Weekly Plan'!$A$2:$A$24,0))="","",IF(INDEX('Weekly Plan'!$T$2:$T$24,MATCH($B$5,'Weekly Plan'!$A$2:$A$24,0))="",INDEX('Weekly Plan'!$S$2:$S$24,MATCH($B$5,'Weekly Plan'!$A$2:$A$24,0)),HYPERLINK(INDEX('Weekly Plan'!$T$2:$T$24,MATCH($B$5,'Weekly Plan'!$A$2:$A$24,0)),INDEX('Weekly Plan'!$S$2:$S$24,MATCH($B$5,'Weekly Plan'!$A$2:$A$24,0)))))</f>
        <v>Book: The Data Warehouse Toolkit (Kimball and Ross), ch. 1-3 (borrow)</v>
      </c>
    </row>
    <row r="21" customFormat="false" ht="15" hidden="false" customHeight="false" outlineLevel="0" collapsed="false">
      <c r="A21" s="3" t="s">
        <v>57</v>
      </c>
    </row>
    <row r="22" customFormat="false" ht="15" hidden="false" customHeight="false" outlineLevel="0" collapsed="false">
      <c r="A22" s="11" t="s">
        <v>58</v>
      </c>
      <c r="B22" s="11" t="s">
        <v>59</v>
      </c>
      <c r="C22" s="11" t="s">
        <v>60</v>
      </c>
    </row>
    <row r="23" customFormat="false" ht="15" hidden="false" customHeight="false" outlineLevel="0" collapsed="false">
      <c r="A23" s="23" t="s">
        <v>61</v>
      </c>
      <c r="B23" s="23" t="str">
        <f aca="false">"Learn: "&amp;B10</f>
        <v>Learn: Coginiti: Dimensional Modeling and the Star Schema (guide)</v>
      </c>
      <c r="C23" s="29" t="n">
        <v>1.5</v>
      </c>
    </row>
    <row r="24" customFormat="false" ht="15" hidden="false" customHeight="false" outlineLevel="0" collapsed="false">
      <c r="A24" s="23" t="s">
        <v>62</v>
      </c>
      <c r="B24" s="23" t="str">
        <f aca="false">"Learn: "&amp;IF(B18="",B10,B18)</f>
        <v>Learn: Microsoft Learn: Understand star schema</v>
      </c>
      <c r="C24" s="29" t="n">
        <v>1.5</v>
      </c>
    </row>
    <row r="25" customFormat="false" ht="15" hidden="false" customHeight="false" outlineLevel="0" collapsed="false">
      <c r="A25" s="23" t="s">
        <v>63</v>
      </c>
      <c r="B25" s="23" t="s">
        <v>64</v>
      </c>
      <c r="C25" s="29" t="n">
        <v>2</v>
      </c>
    </row>
    <row r="26" customFormat="false" ht="15" hidden="false" customHeight="false" outlineLevel="0" collapsed="false">
      <c r="A26" s="23" t="s">
        <v>65</v>
      </c>
      <c r="B26" s="23" t="s">
        <v>66</v>
      </c>
      <c r="C26" s="29" t="n">
        <v>1.5</v>
      </c>
    </row>
    <row r="27" customFormat="false" ht="15" hidden="false" customHeight="false" outlineLevel="0" collapsed="false">
      <c r="A27" s="23" t="s">
        <v>67</v>
      </c>
      <c r="B27" s="23" t="s">
        <v>68</v>
      </c>
      <c r="C27" s="29" t="n">
        <v>3</v>
      </c>
    </row>
    <row r="28" customFormat="false" ht="15" hidden="false" customHeight="false" outlineLevel="0" collapsed="false">
      <c r="A28" s="23" t="s">
        <v>69</v>
      </c>
      <c r="B28" s="23" t="s">
        <v>70</v>
      </c>
      <c r="C28" s="29" t="n">
        <v>0.5</v>
      </c>
    </row>
    <row r="29" customFormat="false" ht="15" hidden="false" customHeight="false" outlineLevel="0" collapsed="false">
      <c r="A29" s="3" t="s">
        <v>71</v>
      </c>
      <c r="C29" s="3" t="n">
        <f aca="false">SUM(C23:C28)</f>
        <v>10</v>
      </c>
    </row>
    <row r="30" customFormat="false" ht="15" hidden="false" customHeight="false" outlineLevel="0" collapsed="false">
      <c r="A30" s="3" t="s">
        <v>72</v>
      </c>
      <c r="C30" s="3" t="n">
        <f aca="false">INDEX('Weekly Plan'!$L$2:$L$24,MATCH($B$5,'Weekly Plan'!$A$2:$A$24,0))+INDEX('Weekly Plan'!$M$2:$M$24,MATCH($B$5,'Weekly Plan'!$A$2:$A$24,0))</f>
        <v>10</v>
      </c>
    </row>
    <row r="32" customFormat="false" ht="15" hidden="false" customHeight="false" outlineLevel="0" collapsed="false">
      <c r="A32" s="3" t="s">
        <v>73</v>
      </c>
    </row>
    <row r="33" customFormat="false" ht="15" hidden="false" customHeight="false" outlineLevel="0" collapsed="false">
      <c r="A33" s="6" t="s">
        <v>74</v>
      </c>
    </row>
    <row r="34" customFormat="false" ht="15" hidden="false" customHeight="false" outlineLevel="0" collapsed="false">
      <c r="A34" s="6" t="s">
        <v>75</v>
      </c>
    </row>
    <row r="35" customFormat="false" ht="15" hidden="false" customHeight="false" outlineLevel="0" collapsed="false">
      <c r="A35" s="6" t="s">
        <v>76</v>
      </c>
    </row>
    <row r="36" customFormat="false" ht="15" hidden="false" customHeight="false" outlineLevel="0" collapsed="false">
      <c r="A36" s="6" t="s">
        <v>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75"/>
    <col collapsed="false" customWidth="true" hidden="false" outlineLevel="0" max="3" min="3" style="0" width="40"/>
    <col collapsed="false" customWidth="true" hidden="false" outlineLevel="0" max="4" min="4" style="0" width="14"/>
    <col collapsed="false" customWidth="true" hidden="false" outlineLevel="0" max="5" min="5" style="0" width="40"/>
  </cols>
  <sheetData>
    <row r="1" customFormat="false" ht="15" hidden="false" customHeight="false" outlineLevel="0" collapsed="false">
      <c r="A1" s="11" t="s">
        <v>78</v>
      </c>
      <c r="B1" s="11" t="s">
        <v>79</v>
      </c>
      <c r="C1" s="11" t="s">
        <v>54</v>
      </c>
      <c r="D1" s="11" t="s">
        <v>80</v>
      </c>
      <c r="E1" s="11" t="s">
        <v>81</v>
      </c>
    </row>
    <row r="2" customFormat="false" ht="35.05" hidden="false" customHeight="false" outlineLevel="0" collapsed="false">
      <c r="A2" s="23" t="n">
        <v>1</v>
      </c>
      <c r="B2" s="23" t="s">
        <v>82</v>
      </c>
      <c r="C2" s="28" t="s">
        <v>83</v>
      </c>
      <c r="D2" s="29" t="s">
        <v>84</v>
      </c>
      <c r="E2" s="29"/>
    </row>
    <row r="3" customFormat="false" ht="23.85" hidden="false" customHeight="false" outlineLevel="0" collapsed="false">
      <c r="A3" s="23" t="n">
        <v>2</v>
      </c>
      <c r="B3" s="23" t="s">
        <v>85</v>
      </c>
      <c r="C3" s="23"/>
      <c r="D3" s="29" t="s">
        <v>84</v>
      </c>
      <c r="E3" s="29"/>
    </row>
    <row r="4" customFormat="false" ht="15" hidden="false" customHeight="false" outlineLevel="0" collapsed="false">
      <c r="A4" s="23" t="n">
        <v>3</v>
      </c>
      <c r="B4" s="23" t="s">
        <v>86</v>
      </c>
      <c r="C4" s="28" t="s">
        <v>87</v>
      </c>
      <c r="D4" s="29" t="s">
        <v>84</v>
      </c>
      <c r="E4" s="29"/>
    </row>
    <row r="5" customFormat="false" ht="15" hidden="false" customHeight="false" outlineLevel="0" collapsed="false">
      <c r="A5" s="23" t="n">
        <v>4</v>
      </c>
      <c r="B5" s="23" t="s">
        <v>88</v>
      </c>
      <c r="C5" s="23"/>
      <c r="D5" s="29" t="s">
        <v>84</v>
      </c>
      <c r="E5" s="29"/>
    </row>
    <row r="6" customFormat="false" ht="15" hidden="false" customHeight="false" outlineLevel="0" collapsed="false">
      <c r="A6" s="23" t="n">
        <v>5</v>
      </c>
      <c r="B6" s="23" t="s">
        <v>89</v>
      </c>
      <c r="C6" s="28" t="s">
        <v>90</v>
      </c>
      <c r="D6" s="29" t="s">
        <v>84</v>
      </c>
      <c r="E6" s="29"/>
    </row>
    <row r="7" customFormat="false" ht="15" hidden="false" customHeight="false" outlineLevel="0" collapsed="false">
      <c r="A7" s="23" t="n">
        <v>6</v>
      </c>
      <c r="B7" s="23" t="s">
        <v>91</v>
      </c>
      <c r="C7" s="28" t="s">
        <v>92</v>
      </c>
      <c r="D7" s="29" t="s">
        <v>84</v>
      </c>
      <c r="E7" s="29"/>
    </row>
    <row r="8" customFormat="false" ht="15" hidden="false" customHeight="false" outlineLevel="0" collapsed="false">
      <c r="A8" s="23" t="n">
        <v>7</v>
      </c>
      <c r="B8" s="23" t="s">
        <v>93</v>
      </c>
      <c r="C8" s="28" t="s">
        <v>94</v>
      </c>
      <c r="D8" s="29" t="s">
        <v>84</v>
      </c>
      <c r="E8" s="29"/>
    </row>
    <row r="9" customFormat="false" ht="15" hidden="false" customHeight="false" outlineLevel="0" collapsed="false">
      <c r="A9" s="23" t="n">
        <v>8</v>
      </c>
      <c r="B9" s="23" t="s">
        <v>95</v>
      </c>
      <c r="C9" s="28" t="s">
        <v>96</v>
      </c>
      <c r="D9" s="29" t="s">
        <v>84</v>
      </c>
      <c r="E9" s="29"/>
    </row>
    <row r="10" customFormat="false" ht="15" hidden="false" customHeight="false" outlineLevel="0" collapsed="false">
      <c r="A10" s="23" t="n">
        <v>9</v>
      </c>
      <c r="B10" s="23" t="s">
        <v>97</v>
      </c>
      <c r="C10" s="23"/>
      <c r="D10" s="29" t="s">
        <v>84</v>
      </c>
      <c r="E10" s="29"/>
    </row>
    <row r="11" customFormat="false" ht="15" hidden="false" customHeight="false" outlineLevel="0" collapsed="false">
      <c r="A11" s="23" t="n">
        <v>10</v>
      </c>
      <c r="B11" s="23" t="s">
        <v>98</v>
      </c>
      <c r="C11" s="23"/>
      <c r="D11" s="29" t="s">
        <v>84</v>
      </c>
      <c r="E11" s="29"/>
    </row>
  </sheetData>
  <conditionalFormatting sqref="D2:D11">
    <cfRule type="cellIs" priority="2" operator="equal" aboveAverage="0" equalAverage="0" bottom="0" percent="0" rank="0" text="" dxfId="0">
      <formula>"Done"</formula>
    </cfRule>
    <cfRule type="cellIs" priority="3" operator="equal" aboveAverage="0" equalAverage="0" bottom="0" percent="0" rank="0" text="" dxfId="1">
      <formula>"In progress"</formula>
    </cfRule>
  </conditionalFormatting>
  <dataValidations count="1">
    <dataValidation allowBlank="false" errorStyle="stop" operator="between" showDropDown="false" showErrorMessage="false" showInputMessage="false" sqref="D2:D11" type="list">
      <formula1>"Not started,In progress,Done"</formula1>
      <formula2>0</formula2>
    </dataValidation>
  </dataValidations>
  <hyperlinks>
    <hyperlink ref="C2" r:id="rId1" display="https://learn.snowflake.com/en/certifications/snowpro-core-c03"/>
    <hyperlink ref="C4" r:id="rId2" display="https://github.com"/>
    <hyperlink ref="C6" r:id="rId3" display="https://www.python.org/downloads/"/>
    <hyperlink ref="C7" r:id="rId4" display="https://docs.docker.com/get-docker/"/>
    <hyperlink ref="C8" r:id="rId5" display="https://signup.snowflake.com"/>
    <hyperlink ref="C9" r:id="rId6" display="https://cloud.google.com/fre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3"/>
    <col collapsed="false" customWidth="true" hidden="false" outlineLevel="0" max="3" min="3" style="0" width="22"/>
    <col collapsed="false" customWidth="true" hidden="false" outlineLevel="0" max="4" min="4" style="0" width="36"/>
    <col collapsed="false" customWidth="true" hidden="false" outlineLevel="0" max="5" min="5" style="0" width="44"/>
    <col collapsed="false" customWidth="true" hidden="false" outlineLevel="0" max="6" min="6" style="0" width="38"/>
    <col collapsed="false" customWidth="true" hidden="false" outlineLevel="0" max="7" min="7" style="0" width="44"/>
    <col collapsed="false" customWidth="true" hidden="false" outlineLevel="0" max="8" min="8" style="0" width="66"/>
    <col collapsed="false" customWidth="true" hidden="false" outlineLevel="0" max="9" min="9" style="0" width="40"/>
    <col collapsed="false" customWidth="true" hidden="false" outlineLevel="0" max="10" min="10" style="0" width="38"/>
    <col collapsed="false" customWidth="true" hidden="false" outlineLevel="0" max="11" min="11" style="0" width="13"/>
    <col collapsed="false" customWidth="true" hidden="false" outlineLevel="0" max="13" min="12" style="0" width="9"/>
    <col collapsed="false" customWidth="true" hidden="false" outlineLevel="0" max="14" min="14" style="0" width="14"/>
    <col collapsed="false" customWidth="true" hidden="false" outlineLevel="0" max="15" min="15" style="0" width="10"/>
    <col collapsed="false" customWidth="true" hidden="false" outlineLevel="0" max="16" min="16" style="0" width="30"/>
    <col collapsed="false" customWidth="true" hidden="false" outlineLevel="0" max="17" min="17" style="0" width="44"/>
    <col collapsed="false" customWidth="true" hidden="false" outlineLevel="0" max="18" min="18" style="0" width="38"/>
    <col collapsed="false" customWidth="true" hidden="false" outlineLevel="0" max="19" min="19" style="0" width="44"/>
    <col collapsed="false" customWidth="true" hidden="false" outlineLevel="0" max="20" min="20" style="0" width="38"/>
  </cols>
  <sheetData>
    <row r="1" customFormat="false" ht="31.5" hidden="false" customHeight="true" outlineLevel="0" collapsed="false">
      <c r="A1" s="11" t="s">
        <v>99</v>
      </c>
      <c r="B1" s="11" t="s">
        <v>45</v>
      </c>
      <c r="C1" s="11" t="s">
        <v>21</v>
      </c>
      <c r="D1" s="11" t="s">
        <v>100</v>
      </c>
      <c r="E1" s="11" t="s">
        <v>101</v>
      </c>
      <c r="F1" s="11" t="s">
        <v>102</v>
      </c>
      <c r="G1" s="11" t="s">
        <v>48</v>
      </c>
      <c r="H1" s="11" t="s">
        <v>103</v>
      </c>
      <c r="I1" s="11" t="s">
        <v>50</v>
      </c>
      <c r="J1" s="11" t="s">
        <v>51</v>
      </c>
      <c r="K1" s="11" t="s">
        <v>104</v>
      </c>
      <c r="L1" s="11" t="s">
        <v>105</v>
      </c>
      <c r="M1" s="11" t="s">
        <v>106</v>
      </c>
      <c r="N1" s="11" t="s">
        <v>80</v>
      </c>
      <c r="O1" s="11" t="s">
        <v>107</v>
      </c>
      <c r="P1" s="11" t="s">
        <v>108</v>
      </c>
      <c r="Q1" s="11" t="s">
        <v>55</v>
      </c>
      <c r="R1" s="11" t="s">
        <v>109</v>
      </c>
      <c r="S1" s="11" t="s">
        <v>56</v>
      </c>
      <c r="T1" s="11" t="s">
        <v>110</v>
      </c>
    </row>
    <row r="2" customFormat="false" ht="35.05" hidden="false" customHeight="false" outlineLevel="0" collapsed="false">
      <c r="A2" s="30" t="n">
        <v>1</v>
      </c>
      <c r="B2" s="31" t="n">
        <f aca="false">Dashboard!$B$4+(A2-1)*7</f>
        <v>46314</v>
      </c>
      <c r="C2" s="30" t="s">
        <v>23</v>
      </c>
      <c r="D2" s="23" t="s">
        <v>111</v>
      </c>
      <c r="E2" s="23" t="s">
        <v>112</v>
      </c>
      <c r="F2" s="28" t="s">
        <v>113</v>
      </c>
      <c r="G2" s="23" t="s">
        <v>114</v>
      </c>
      <c r="H2" s="23" t="s">
        <v>115</v>
      </c>
      <c r="I2" s="25"/>
      <c r="J2" s="23" t="s">
        <v>116</v>
      </c>
      <c r="K2" s="23" t="s">
        <v>117</v>
      </c>
      <c r="L2" s="32" t="n">
        <v>4</v>
      </c>
      <c r="M2" s="32" t="n">
        <v>6</v>
      </c>
      <c r="N2" s="29" t="s">
        <v>84</v>
      </c>
      <c r="O2" s="29"/>
      <c r="P2" s="29"/>
      <c r="Q2" s="23" t="s">
        <v>118</v>
      </c>
      <c r="R2" s="28" t="s">
        <v>119</v>
      </c>
      <c r="S2" s="23" t="s">
        <v>120</v>
      </c>
      <c r="T2" s="23"/>
    </row>
    <row r="3" customFormat="false" ht="35.05" hidden="false" customHeight="false" outlineLevel="0" collapsed="false">
      <c r="A3" s="30" t="n">
        <v>2</v>
      </c>
      <c r="B3" s="31" t="n">
        <f aca="false">Dashboard!$B$4+(A3-1)*7</f>
        <v>46321</v>
      </c>
      <c r="C3" s="30" t="s">
        <v>23</v>
      </c>
      <c r="D3" s="23" t="s">
        <v>121</v>
      </c>
      <c r="E3" s="23" t="s">
        <v>122</v>
      </c>
      <c r="F3" s="28" t="s">
        <v>123</v>
      </c>
      <c r="G3" s="23" t="s">
        <v>124</v>
      </c>
      <c r="H3" s="23" t="s">
        <v>125</v>
      </c>
      <c r="I3" s="25"/>
      <c r="J3" s="23" t="s">
        <v>126</v>
      </c>
      <c r="K3" s="23" t="s">
        <v>127</v>
      </c>
      <c r="L3" s="32" t="n">
        <v>4</v>
      </c>
      <c r="M3" s="32" t="n">
        <v>6</v>
      </c>
      <c r="N3" s="29" t="s">
        <v>84</v>
      </c>
      <c r="O3" s="29"/>
      <c r="P3" s="29"/>
      <c r="Q3" s="23" t="s">
        <v>128</v>
      </c>
      <c r="R3" s="28" t="s">
        <v>129</v>
      </c>
      <c r="S3" s="23" t="s">
        <v>130</v>
      </c>
      <c r="T3" s="28" t="s">
        <v>131</v>
      </c>
    </row>
    <row r="4" customFormat="false" ht="35.05" hidden="false" customHeight="false" outlineLevel="0" collapsed="false">
      <c r="A4" s="30" t="n">
        <v>3</v>
      </c>
      <c r="B4" s="31" t="n">
        <f aca="false">Dashboard!$B$4+(A4-1)*7</f>
        <v>46328</v>
      </c>
      <c r="C4" s="30" t="s">
        <v>23</v>
      </c>
      <c r="D4" s="23" t="s">
        <v>132</v>
      </c>
      <c r="E4" s="23" t="s">
        <v>133</v>
      </c>
      <c r="F4" s="28" t="s">
        <v>134</v>
      </c>
      <c r="G4" s="23" t="s">
        <v>135</v>
      </c>
      <c r="H4" s="23" t="s">
        <v>136</v>
      </c>
      <c r="I4" s="25" t="s">
        <v>137</v>
      </c>
      <c r="J4" s="23" t="s">
        <v>138</v>
      </c>
      <c r="K4" s="23" t="s">
        <v>139</v>
      </c>
      <c r="L4" s="32" t="n">
        <v>4</v>
      </c>
      <c r="M4" s="32" t="n">
        <v>6</v>
      </c>
      <c r="N4" s="29" t="s">
        <v>84</v>
      </c>
      <c r="O4" s="29"/>
      <c r="P4" s="29"/>
      <c r="Q4" s="23" t="s">
        <v>140</v>
      </c>
      <c r="R4" s="28" t="s">
        <v>141</v>
      </c>
      <c r="S4" s="23" t="s">
        <v>142</v>
      </c>
      <c r="T4" s="28" t="s">
        <v>143</v>
      </c>
    </row>
    <row r="5" customFormat="false" ht="46.25" hidden="false" customHeight="false" outlineLevel="0" collapsed="false">
      <c r="A5" s="33" t="n">
        <v>4</v>
      </c>
      <c r="B5" s="31" t="n">
        <f aca="false">Dashboard!$B$4+(A5-1)*7</f>
        <v>46335</v>
      </c>
      <c r="C5" s="33" t="s">
        <v>24</v>
      </c>
      <c r="D5" s="23" t="s">
        <v>144</v>
      </c>
      <c r="E5" s="23" t="s">
        <v>145</v>
      </c>
      <c r="F5" s="28" t="s">
        <v>83</v>
      </c>
      <c r="G5" s="23" t="s">
        <v>146</v>
      </c>
      <c r="H5" s="23" t="s">
        <v>147</v>
      </c>
      <c r="I5" s="25"/>
      <c r="J5" s="23" t="s">
        <v>148</v>
      </c>
      <c r="K5" s="23" t="s">
        <v>149</v>
      </c>
      <c r="L5" s="32" t="n">
        <v>5</v>
      </c>
      <c r="M5" s="32" t="n">
        <v>5</v>
      </c>
      <c r="N5" s="29" t="s">
        <v>84</v>
      </c>
      <c r="O5" s="29"/>
      <c r="P5" s="29"/>
      <c r="Q5" s="23" t="s">
        <v>150</v>
      </c>
      <c r="R5" s="28" t="s">
        <v>151</v>
      </c>
      <c r="S5" s="23" t="s">
        <v>152</v>
      </c>
      <c r="T5" s="28" t="s">
        <v>153</v>
      </c>
    </row>
    <row r="6" customFormat="false" ht="35.05" hidden="false" customHeight="false" outlineLevel="0" collapsed="false">
      <c r="A6" s="33" t="n">
        <v>5</v>
      </c>
      <c r="B6" s="31" t="n">
        <f aca="false">Dashboard!$B$4+(A6-1)*7</f>
        <v>46342</v>
      </c>
      <c r="C6" s="33" t="s">
        <v>24</v>
      </c>
      <c r="D6" s="23" t="s">
        <v>154</v>
      </c>
      <c r="E6" s="23" t="s">
        <v>155</v>
      </c>
      <c r="F6" s="28" t="s">
        <v>156</v>
      </c>
      <c r="G6" s="23" t="s">
        <v>157</v>
      </c>
      <c r="H6" s="23" t="s">
        <v>158</v>
      </c>
      <c r="I6" s="25"/>
      <c r="J6" s="23" t="s">
        <v>159</v>
      </c>
      <c r="K6" s="23" t="s">
        <v>160</v>
      </c>
      <c r="L6" s="32" t="n">
        <v>5</v>
      </c>
      <c r="M6" s="32" t="n">
        <v>5</v>
      </c>
      <c r="N6" s="29" t="s">
        <v>84</v>
      </c>
      <c r="O6" s="29"/>
      <c r="P6" s="29"/>
      <c r="Q6" s="23" t="s">
        <v>161</v>
      </c>
      <c r="R6" s="28" t="s">
        <v>151</v>
      </c>
      <c r="S6" s="23" t="s">
        <v>162</v>
      </c>
      <c r="T6" s="28" t="s">
        <v>83</v>
      </c>
    </row>
    <row r="7" customFormat="false" ht="57.45" hidden="false" customHeight="false" outlineLevel="0" collapsed="false">
      <c r="A7" s="33" t="n">
        <v>6</v>
      </c>
      <c r="B7" s="31" t="n">
        <f aca="false">Dashboard!$B$4+(A7-1)*7</f>
        <v>46349</v>
      </c>
      <c r="C7" s="33" t="s">
        <v>24</v>
      </c>
      <c r="D7" s="23" t="s">
        <v>163</v>
      </c>
      <c r="E7" s="23" t="s">
        <v>164</v>
      </c>
      <c r="F7" s="28"/>
      <c r="G7" s="23" t="s">
        <v>165</v>
      </c>
      <c r="H7" s="23" t="s">
        <v>166</v>
      </c>
      <c r="I7" s="25" t="s">
        <v>167</v>
      </c>
      <c r="J7" s="23" t="s">
        <v>168</v>
      </c>
      <c r="K7" s="23" t="s">
        <v>169</v>
      </c>
      <c r="L7" s="32" t="n">
        <v>6</v>
      </c>
      <c r="M7" s="32" t="n">
        <v>4</v>
      </c>
      <c r="N7" s="29" t="s">
        <v>84</v>
      </c>
      <c r="O7" s="29"/>
      <c r="P7" s="29"/>
      <c r="Q7" s="23" t="s">
        <v>170</v>
      </c>
      <c r="R7" s="28" t="s">
        <v>83</v>
      </c>
      <c r="S7" s="23" t="s">
        <v>171</v>
      </c>
      <c r="T7" s="28" t="s">
        <v>151</v>
      </c>
    </row>
    <row r="8" customFormat="false" ht="35.05" hidden="false" customHeight="false" outlineLevel="0" collapsed="false">
      <c r="A8" s="34" t="n">
        <v>7</v>
      </c>
      <c r="B8" s="31" t="n">
        <f aca="false">Dashboard!$B$4+(A8-1)*7</f>
        <v>46356</v>
      </c>
      <c r="C8" s="34" t="s">
        <v>25</v>
      </c>
      <c r="D8" s="23" t="s">
        <v>172</v>
      </c>
      <c r="E8" s="23" t="s">
        <v>173</v>
      </c>
      <c r="F8" s="28" t="s">
        <v>174</v>
      </c>
      <c r="G8" s="23" t="s">
        <v>175</v>
      </c>
      <c r="H8" s="23" t="s">
        <v>176</v>
      </c>
      <c r="I8" s="25" t="s">
        <v>177</v>
      </c>
      <c r="J8" s="23" t="s">
        <v>178</v>
      </c>
      <c r="K8" s="23" t="s">
        <v>179</v>
      </c>
      <c r="L8" s="32" t="n">
        <v>4</v>
      </c>
      <c r="M8" s="32" t="n">
        <v>6</v>
      </c>
      <c r="N8" s="29" t="s">
        <v>84</v>
      </c>
      <c r="O8" s="29"/>
      <c r="P8" s="29"/>
      <c r="Q8" s="23" t="s">
        <v>180</v>
      </c>
      <c r="R8" s="28" t="s">
        <v>151</v>
      </c>
      <c r="S8" s="23" t="s">
        <v>181</v>
      </c>
      <c r="T8" s="28" t="s">
        <v>182</v>
      </c>
    </row>
    <row r="9" customFormat="false" ht="35.05" hidden="false" customHeight="false" outlineLevel="0" collapsed="false">
      <c r="A9" s="34" t="n">
        <v>8</v>
      </c>
      <c r="B9" s="31" t="n">
        <f aca="false">Dashboard!$B$4+(A9-1)*7</f>
        <v>46363</v>
      </c>
      <c r="C9" s="34" t="s">
        <v>25</v>
      </c>
      <c r="D9" s="23" t="s">
        <v>183</v>
      </c>
      <c r="E9" s="23" t="s">
        <v>184</v>
      </c>
      <c r="F9" s="28" t="s">
        <v>156</v>
      </c>
      <c r="G9" s="23" t="s">
        <v>185</v>
      </c>
      <c r="H9" s="23" t="s">
        <v>186</v>
      </c>
      <c r="I9" s="25"/>
      <c r="J9" s="23" t="s">
        <v>187</v>
      </c>
      <c r="K9" s="23" t="s">
        <v>188</v>
      </c>
      <c r="L9" s="32" t="n">
        <v>4</v>
      </c>
      <c r="M9" s="32" t="n">
        <v>6</v>
      </c>
      <c r="N9" s="29" t="s">
        <v>84</v>
      </c>
      <c r="O9" s="29"/>
      <c r="P9" s="29"/>
      <c r="Q9" s="23" t="s">
        <v>189</v>
      </c>
      <c r="R9" s="28" t="s">
        <v>151</v>
      </c>
      <c r="S9" s="23" t="s">
        <v>190</v>
      </c>
      <c r="T9" s="28" t="s">
        <v>174</v>
      </c>
    </row>
    <row r="10" customFormat="false" ht="35.05" hidden="false" customHeight="false" outlineLevel="0" collapsed="false">
      <c r="A10" s="34" t="n">
        <v>9</v>
      </c>
      <c r="B10" s="31" t="n">
        <f aca="false">Dashboard!$B$4+(A10-1)*7</f>
        <v>46370</v>
      </c>
      <c r="C10" s="34" t="s">
        <v>25</v>
      </c>
      <c r="D10" s="23" t="s">
        <v>191</v>
      </c>
      <c r="E10" s="23" t="s">
        <v>192</v>
      </c>
      <c r="F10" s="28" t="s">
        <v>193</v>
      </c>
      <c r="G10" s="23" t="s">
        <v>194</v>
      </c>
      <c r="H10" s="23" t="s">
        <v>195</v>
      </c>
      <c r="I10" s="25"/>
      <c r="J10" s="23" t="s">
        <v>196</v>
      </c>
      <c r="K10" s="23" t="s">
        <v>197</v>
      </c>
      <c r="L10" s="32" t="n">
        <v>4</v>
      </c>
      <c r="M10" s="32" t="n">
        <v>6</v>
      </c>
      <c r="N10" s="29" t="s">
        <v>84</v>
      </c>
      <c r="O10" s="29"/>
      <c r="P10" s="29"/>
      <c r="Q10" s="23" t="s">
        <v>198</v>
      </c>
      <c r="R10" s="28" t="s">
        <v>153</v>
      </c>
      <c r="S10" s="23" t="s">
        <v>199</v>
      </c>
      <c r="T10" s="28" t="s">
        <v>151</v>
      </c>
    </row>
    <row r="11" customFormat="false" ht="46.25" hidden="false" customHeight="false" outlineLevel="0" collapsed="false">
      <c r="A11" s="34" t="n">
        <v>10</v>
      </c>
      <c r="B11" s="31" t="n">
        <f aca="false">Dashboard!$B$4+(A11-1)*7</f>
        <v>46377</v>
      </c>
      <c r="C11" s="34" t="s">
        <v>25</v>
      </c>
      <c r="D11" s="23" t="s">
        <v>200</v>
      </c>
      <c r="E11" s="23" t="s">
        <v>201</v>
      </c>
      <c r="F11" s="28" t="s">
        <v>151</v>
      </c>
      <c r="G11" s="23" t="s">
        <v>202</v>
      </c>
      <c r="H11" s="23" t="s">
        <v>203</v>
      </c>
      <c r="I11" s="25"/>
      <c r="J11" s="23" t="s">
        <v>204</v>
      </c>
      <c r="K11" s="23" t="s">
        <v>205</v>
      </c>
      <c r="L11" s="32" t="n">
        <v>4</v>
      </c>
      <c r="M11" s="32" t="n">
        <v>6</v>
      </c>
      <c r="N11" s="29" t="s">
        <v>84</v>
      </c>
      <c r="O11" s="29"/>
      <c r="P11" s="29"/>
      <c r="Q11" s="23" t="s">
        <v>206</v>
      </c>
      <c r="R11" s="28" t="s">
        <v>207</v>
      </c>
      <c r="S11" s="23" t="s">
        <v>208</v>
      </c>
      <c r="T11" s="28" t="s">
        <v>141</v>
      </c>
    </row>
    <row r="12" customFormat="false" ht="23.85" hidden="false" customHeight="false" outlineLevel="0" collapsed="false">
      <c r="A12" s="34" t="n">
        <v>11</v>
      </c>
      <c r="B12" s="31" t="n">
        <f aca="false">Dashboard!$B$4+(A12-1)*7</f>
        <v>46384</v>
      </c>
      <c r="C12" s="34" t="s">
        <v>25</v>
      </c>
      <c r="D12" s="23" t="s">
        <v>209</v>
      </c>
      <c r="E12" s="23" t="s">
        <v>210</v>
      </c>
      <c r="F12" s="28" t="s">
        <v>211</v>
      </c>
      <c r="G12" s="23" t="s">
        <v>212</v>
      </c>
      <c r="H12" s="23" t="s">
        <v>213</v>
      </c>
      <c r="I12" s="25"/>
      <c r="J12" s="23" t="s">
        <v>214</v>
      </c>
      <c r="K12" s="23" t="s">
        <v>215</v>
      </c>
      <c r="L12" s="32" t="n">
        <v>4</v>
      </c>
      <c r="M12" s="32" t="n">
        <v>6</v>
      </c>
      <c r="N12" s="29" t="s">
        <v>84</v>
      </c>
      <c r="O12" s="29"/>
      <c r="P12" s="29"/>
      <c r="Q12" s="23" t="s">
        <v>216</v>
      </c>
      <c r="R12" s="28" t="s">
        <v>153</v>
      </c>
      <c r="S12" s="23" t="s">
        <v>217</v>
      </c>
      <c r="T12" s="28" t="s">
        <v>218</v>
      </c>
    </row>
    <row r="13" customFormat="false" ht="35.05" hidden="false" customHeight="false" outlineLevel="0" collapsed="false">
      <c r="A13" s="34" t="n">
        <v>12</v>
      </c>
      <c r="B13" s="31" t="n">
        <f aca="false">Dashboard!$B$4+(A13-1)*7</f>
        <v>46391</v>
      </c>
      <c r="C13" s="34" t="s">
        <v>25</v>
      </c>
      <c r="D13" s="23" t="s">
        <v>219</v>
      </c>
      <c r="E13" s="23" t="s">
        <v>220</v>
      </c>
      <c r="F13" s="28"/>
      <c r="G13" s="23" t="s">
        <v>221</v>
      </c>
      <c r="H13" s="23" t="s">
        <v>222</v>
      </c>
      <c r="I13" s="25" t="s">
        <v>223</v>
      </c>
      <c r="J13" s="23" t="s">
        <v>224</v>
      </c>
      <c r="K13" s="23" t="s">
        <v>225</v>
      </c>
      <c r="L13" s="32" t="n">
        <v>6</v>
      </c>
      <c r="M13" s="32" t="n">
        <v>4</v>
      </c>
      <c r="N13" s="29" t="s">
        <v>84</v>
      </c>
      <c r="O13" s="29"/>
      <c r="P13" s="29"/>
      <c r="Q13" s="23" t="s">
        <v>226</v>
      </c>
      <c r="R13" s="28" t="s">
        <v>174</v>
      </c>
      <c r="S13" s="23" t="s">
        <v>227</v>
      </c>
      <c r="T13" s="28" t="s">
        <v>228</v>
      </c>
    </row>
    <row r="14" customFormat="false" ht="35.05" hidden="false" customHeight="false" outlineLevel="0" collapsed="false">
      <c r="A14" s="35" t="n">
        <v>13</v>
      </c>
      <c r="B14" s="31" t="n">
        <f aca="false">Dashboard!$B$4+(A14-1)*7</f>
        <v>46398</v>
      </c>
      <c r="C14" s="35" t="s">
        <v>26</v>
      </c>
      <c r="D14" s="23" t="s">
        <v>229</v>
      </c>
      <c r="E14" s="23" t="s">
        <v>230</v>
      </c>
      <c r="F14" s="28" t="s">
        <v>231</v>
      </c>
      <c r="G14" s="23" t="s">
        <v>232</v>
      </c>
      <c r="H14" s="23" t="s">
        <v>233</v>
      </c>
      <c r="I14" s="25" t="s">
        <v>234</v>
      </c>
      <c r="J14" s="23" t="s">
        <v>235</v>
      </c>
      <c r="K14" s="23" t="s">
        <v>236</v>
      </c>
      <c r="L14" s="32" t="n">
        <v>4</v>
      </c>
      <c r="M14" s="32" t="n">
        <v>6</v>
      </c>
      <c r="N14" s="29" t="s">
        <v>84</v>
      </c>
      <c r="O14" s="29"/>
      <c r="P14" s="29"/>
      <c r="Q14" s="23" t="s">
        <v>237</v>
      </c>
      <c r="R14" s="28" t="s">
        <v>238</v>
      </c>
      <c r="S14" s="23" t="s">
        <v>239</v>
      </c>
      <c r="T14" s="28" t="s">
        <v>240</v>
      </c>
    </row>
    <row r="15" customFormat="false" ht="35.05" hidden="false" customHeight="false" outlineLevel="0" collapsed="false">
      <c r="A15" s="35" t="n">
        <v>14</v>
      </c>
      <c r="B15" s="31" t="n">
        <f aca="false">Dashboard!$B$4+(A15-1)*7</f>
        <v>46405</v>
      </c>
      <c r="C15" s="35" t="s">
        <v>26</v>
      </c>
      <c r="D15" s="23" t="s">
        <v>241</v>
      </c>
      <c r="E15" s="23" t="s">
        <v>242</v>
      </c>
      <c r="F15" s="28" t="s">
        <v>231</v>
      </c>
      <c r="G15" s="23" t="s">
        <v>243</v>
      </c>
      <c r="H15" s="23" t="s">
        <v>244</v>
      </c>
      <c r="I15" s="25"/>
      <c r="J15" s="23" t="s">
        <v>245</v>
      </c>
      <c r="K15" s="23" t="s">
        <v>246</v>
      </c>
      <c r="L15" s="32" t="n">
        <v>4</v>
      </c>
      <c r="M15" s="32" t="n">
        <v>6</v>
      </c>
      <c r="N15" s="29" t="s">
        <v>84</v>
      </c>
      <c r="O15" s="29"/>
      <c r="P15" s="29"/>
      <c r="Q15" s="23" t="s">
        <v>247</v>
      </c>
      <c r="R15" s="28" t="s">
        <v>248</v>
      </c>
      <c r="S15" s="23" t="s">
        <v>249</v>
      </c>
      <c r="T15" s="28" t="s">
        <v>250</v>
      </c>
    </row>
    <row r="16" customFormat="false" ht="35.05" hidden="false" customHeight="false" outlineLevel="0" collapsed="false">
      <c r="A16" s="35" t="n">
        <v>15</v>
      </c>
      <c r="B16" s="31" t="n">
        <f aca="false">Dashboard!$B$4+(A16-1)*7</f>
        <v>46412</v>
      </c>
      <c r="C16" s="35" t="s">
        <v>26</v>
      </c>
      <c r="D16" s="23" t="s">
        <v>251</v>
      </c>
      <c r="E16" s="23" t="s">
        <v>252</v>
      </c>
      <c r="F16" s="28" t="s">
        <v>231</v>
      </c>
      <c r="G16" s="23" t="s">
        <v>253</v>
      </c>
      <c r="H16" s="23" t="s">
        <v>254</v>
      </c>
      <c r="I16" s="25"/>
      <c r="J16" s="23" t="s">
        <v>255</v>
      </c>
      <c r="K16" s="23" t="s">
        <v>256</v>
      </c>
      <c r="L16" s="32" t="n">
        <v>4</v>
      </c>
      <c r="M16" s="32" t="n">
        <v>6</v>
      </c>
      <c r="N16" s="29" t="s">
        <v>84</v>
      </c>
      <c r="O16" s="29"/>
      <c r="P16" s="29"/>
      <c r="Q16" s="23" t="s">
        <v>257</v>
      </c>
      <c r="R16" s="28" t="s">
        <v>258</v>
      </c>
      <c r="S16" s="23" t="s">
        <v>259</v>
      </c>
      <c r="T16" s="23"/>
    </row>
    <row r="17" customFormat="false" ht="23.85" hidden="false" customHeight="false" outlineLevel="0" collapsed="false">
      <c r="A17" s="35" t="n">
        <v>16</v>
      </c>
      <c r="B17" s="31" t="n">
        <f aca="false">Dashboard!$B$4+(A17-1)*7</f>
        <v>46419</v>
      </c>
      <c r="C17" s="35" t="s">
        <v>26</v>
      </c>
      <c r="D17" s="23" t="s">
        <v>260</v>
      </c>
      <c r="E17" s="23" t="s">
        <v>261</v>
      </c>
      <c r="F17" s="28" t="s">
        <v>231</v>
      </c>
      <c r="G17" s="23" t="s">
        <v>185</v>
      </c>
      <c r="H17" s="23" t="s">
        <v>262</v>
      </c>
      <c r="I17" s="25"/>
      <c r="J17" s="23" t="s">
        <v>263</v>
      </c>
      <c r="K17" s="23" t="s">
        <v>264</v>
      </c>
      <c r="L17" s="32" t="n">
        <v>4</v>
      </c>
      <c r="M17" s="32" t="n">
        <v>6</v>
      </c>
      <c r="N17" s="29" t="s">
        <v>84</v>
      </c>
      <c r="O17" s="29"/>
      <c r="P17" s="29"/>
      <c r="Q17" s="23" t="s">
        <v>265</v>
      </c>
      <c r="R17" s="28" t="s">
        <v>266</v>
      </c>
      <c r="S17" s="23" t="s">
        <v>267</v>
      </c>
      <c r="T17" s="28" t="s">
        <v>268</v>
      </c>
    </row>
    <row r="18" customFormat="false" ht="35.05" hidden="false" customHeight="false" outlineLevel="0" collapsed="false">
      <c r="A18" s="35" t="n">
        <v>17</v>
      </c>
      <c r="B18" s="31" t="n">
        <f aca="false">Dashboard!$B$4+(A18-1)*7</f>
        <v>46426</v>
      </c>
      <c r="C18" s="35" t="s">
        <v>26</v>
      </c>
      <c r="D18" s="23" t="s">
        <v>269</v>
      </c>
      <c r="E18" s="23" t="s">
        <v>270</v>
      </c>
      <c r="F18" s="28"/>
      <c r="G18" s="23" t="s">
        <v>271</v>
      </c>
      <c r="H18" s="23" t="s">
        <v>272</v>
      </c>
      <c r="I18" s="25" t="s">
        <v>273</v>
      </c>
      <c r="J18" s="23" t="s">
        <v>274</v>
      </c>
      <c r="K18" s="23" t="s">
        <v>275</v>
      </c>
      <c r="L18" s="32" t="n">
        <v>6</v>
      </c>
      <c r="M18" s="32" t="n">
        <v>4</v>
      </c>
      <c r="N18" s="29" t="s">
        <v>84</v>
      </c>
      <c r="O18" s="29"/>
      <c r="P18" s="29"/>
      <c r="Q18" s="23" t="s">
        <v>276</v>
      </c>
      <c r="R18" s="28" t="s">
        <v>240</v>
      </c>
      <c r="S18" s="23" t="s">
        <v>277</v>
      </c>
      <c r="T18" s="28" t="s">
        <v>278</v>
      </c>
    </row>
    <row r="19" customFormat="false" ht="35.05" hidden="false" customHeight="false" outlineLevel="0" collapsed="false">
      <c r="A19" s="36" t="n">
        <v>18</v>
      </c>
      <c r="B19" s="31" t="n">
        <f aca="false">Dashboard!$B$4+(A19-1)*7</f>
        <v>46433</v>
      </c>
      <c r="C19" s="36" t="s">
        <v>27</v>
      </c>
      <c r="D19" s="23" t="s">
        <v>279</v>
      </c>
      <c r="E19" s="23" t="s">
        <v>280</v>
      </c>
      <c r="F19" s="28" t="s">
        <v>281</v>
      </c>
      <c r="G19" s="23" t="s">
        <v>282</v>
      </c>
      <c r="H19" s="23" t="s">
        <v>283</v>
      </c>
      <c r="I19" s="25" t="s">
        <v>284</v>
      </c>
      <c r="J19" s="23" t="s">
        <v>285</v>
      </c>
      <c r="K19" s="23" t="s">
        <v>286</v>
      </c>
      <c r="L19" s="32" t="n">
        <v>4</v>
      </c>
      <c r="M19" s="32" t="n">
        <v>6</v>
      </c>
      <c r="N19" s="29" t="s">
        <v>84</v>
      </c>
      <c r="O19" s="29"/>
      <c r="P19" s="29"/>
      <c r="Q19" s="23" t="s">
        <v>287</v>
      </c>
      <c r="R19" s="28" t="s">
        <v>288</v>
      </c>
      <c r="S19" s="23" t="s">
        <v>289</v>
      </c>
      <c r="T19" s="28" t="s">
        <v>290</v>
      </c>
    </row>
    <row r="20" customFormat="false" ht="35.05" hidden="false" customHeight="false" outlineLevel="0" collapsed="false">
      <c r="A20" s="36" t="n">
        <v>19</v>
      </c>
      <c r="B20" s="31" t="n">
        <f aca="false">Dashboard!$B$4+(A20-1)*7</f>
        <v>46440</v>
      </c>
      <c r="C20" s="36" t="s">
        <v>27</v>
      </c>
      <c r="D20" s="23" t="s">
        <v>291</v>
      </c>
      <c r="E20" s="23" t="s">
        <v>292</v>
      </c>
      <c r="F20" s="28" t="s">
        <v>293</v>
      </c>
      <c r="G20" s="23" t="s">
        <v>294</v>
      </c>
      <c r="H20" s="23" t="s">
        <v>295</v>
      </c>
      <c r="I20" s="25"/>
      <c r="J20" s="23" t="s">
        <v>296</v>
      </c>
      <c r="K20" s="23" t="s">
        <v>297</v>
      </c>
      <c r="L20" s="32" t="n">
        <v>4</v>
      </c>
      <c r="M20" s="32" t="n">
        <v>6</v>
      </c>
      <c r="N20" s="29" t="s">
        <v>84</v>
      </c>
      <c r="O20" s="29"/>
      <c r="P20" s="29"/>
      <c r="Q20" s="23" t="s">
        <v>298</v>
      </c>
      <c r="R20" s="28" t="s">
        <v>299</v>
      </c>
      <c r="S20" s="23" t="s">
        <v>300</v>
      </c>
      <c r="T20" s="28" t="s">
        <v>301</v>
      </c>
    </row>
    <row r="21" customFormat="false" ht="35.05" hidden="false" customHeight="false" outlineLevel="0" collapsed="false">
      <c r="A21" s="36" t="n">
        <v>20</v>
      </c>
      <c r="B21" s="31" t="n">
        <f aca="false">Dashboard!$B$4+(A21-1)*7</f>
        <v>46447</v>
      </c>
      <c r="C21" s="36" t="s">
        <v>27</v>
      </c>
      <c r="D21" s="23" t="s">
        <v>302</v>
      </c>
      <c r="E21" s="23" t="s">
        <v>303</v>
      </c>
      <c r="F21" s="28" t="s">
        <v>304</v>
      </c>
      <c r="G21" s="23" t="s">
        <v>305</v>
      </c>
      <c r="H21" s="23" t="s">
        <v>306</v>
      </c>
      <c r="I21" s="25"/>
      <c r="J21" s="23" t="s">
        <v>307</v>
      </c>
      <c r="K21" s="23" t="s">
        <v>308</v>
      </c>
      <c r="L21" s="32" t="n">
        <v>4</v>
      </c>
      <c r="M21" s="32" t="n">
        <v>6</v>
      </c>
      <c r="N21" s="29" t="s">
        <v>84</v>
      </c>
      <c r="O21" s="29"/>
      <c r="P21" s="29"/>
      <c r="Q21" s="23" t="s">
        <v>309</v>
      </c>
      <c r="R21" s="28" t="s">
        <v>310</v>
      </c>
      <c r="S21" s="23" t="s">
        <v>311</v>
      </c>
      <c r="T21" s="28" t="s">
        <v>312</v>
      </c>
    </row>
    <row r="22" customFormat="false" ht="35.05" hidden="false" customHeight="false" outlineLevel="0" collapsed="false">
      <c r="A22" s="36" t="n">
        <v>21</v>
      </c>
      <c r="B22" s="31" t="n">
        <f aca="false">Dashboard!$B$4+(A22-1)*7</f>
        <v>46454</v>
      </c>
      <c r="C22" s="36" t="s">
        <v>27</v>
      </c>
      <c r="D22" s="23" t="s">
        <v>313</v>
      </c>
      <c r="E22" s="23" t="s">
        <v>314</v>
      </c>
      <c r="F22" s="28" t="s">
        <v>315</v>
      </c>
      <c r="G22" s="23" t="s">
        <v>316</v>
      </c>
      <c r="H22" s="23" t="s">
        <v>317</v>
      </c>
      <c r="I22" s="25" t="s">
        <v>318</v>
      </c>
      <c r="J22" s="23" t="s">
        <v>319</v>
      </c>
      <c r="K22" s="23" t="s">
        <v>320</v>
      </c>
      <c r="L22" s="32" t="n">
        <v>6</v>
      </c>
      <c r="M22" s="32" t="n">
        <v>4</v>
      </c>
      <c r="N22" s="29" t="s">
        <v>84</v>
      </c>
      <c r="O22" s="29"/>
      <c r="P22" s="29"/>
      <c r="Q22" s="23" t="s">
        <v>321</v>
      </c>
      <c r="R22" s="23"/>
      <c r="S22" s="23" t="s">
        <v>300</v>
      </c>
      <c r="T22" s="28" t="s">
        <v>301</v>
      </c>
    </row>
    <row r="23" customFormat="false" ht="35.05" hidden="false" customHeight="false" outlineLevel="0" collapsed="false">
      <c r="A23" s="37" t="n">
        <v>22</v>
      </c>
      <c r="B23" s="31" t="n">
        <f aca="false">Dashboard!$B$4+(A23-1)*7</f>
        <v>46461</v>
      </c>
      <c r="C23" s="37" t="s">
        <v>28</v>
      </c>
      <c r="D23" s="23" t="s">
        <v>322</v>
      </c>
      <c r="E23" s="23" t="s">
        <v>323</v>
      </c>
      <c r="F23" s="28" t="s">
        <v>324</v>
      </c>
      <c r="G23" s="23" t="s">
        <v>325</v>
      </c>
      <c r="H23" s="23" t="s">
        <v>326</v>
      </c>
      <c r="I23" s="25"/>
      <c r="J23" s="23" t="s">
        <v>327</v>
      </c>
      <c r="K23" s="23" t="s">
        <v>328</v>
      </c>
      <c r="L23" s="32" t="n">
        <v>0</v>
      </c>
      <c r="M23" s="32" t="n">
        <v>10</v>
      </c>
      <c r="N23" s="29" t="s">
        <v>84</v>
      </c>
      <c r="O23" s="29"/>
      <c r="P23" s="29"/>
      <c r="Q23" s="23" t="s">
        <v>142</v>
      </c>
      <c r="R23" s="28" t="s">
        <v>143</v>
      </c>
      <c r="S23" s="23"/>
      <c r="T23" s="23"/>
    </row>
    <row r="24" customFormat="false" ht="23.85" hidden="false" customHeight="false" outlineLevel="0" collapsed="false">
      <c r="A24" s="37" t="n">
        <v>23</v>
      </c>
      <c r="B24" s="31" t="n">
        <f aca="false">Dashboard!$B$4+(A24-1)*7</f>
        <v>46468</v>
      </c>
      <c r="C24" s="37" t="s">
        <v>28</v>
      </c>
      <c r="D24" s="23" t="s">
        <v>329</v>
      </c>
      <c r="E24" s="23" t="s">
        <v>330</v>
      </c>
      <c r="F24" s="28" t="s">
        <v>143</v>
      </c>
      <c r="G24" s="23" t="s">
        <v>331</v>
      </c>
      <c r="H24" s="23" t="s">
        <v>332</v>
      </c>
      <c r="I24" s="25"/>
      <c r="J24" s="23" t="s">
        <v>333</v>
      </c>
      <c r="K24" s="23" t="s">
        <v>334</v>
      </c>
      <c r="L24" s="32" t="n">
        <v>0</v>
      </c>
      <c r="M24" s="32" t="n">
        <v>10</v>
      </c>
      <c r="N24" s="29" t="s">
        <v>84</v>
      </c>
      <c r="O24" s="29"/>
      <c r="P24" s="29"/>
      <c r="Q24" s="23"/>
      <c r="R24" s="23"/>
      <c r="S24" s="23"/>
      <c r="T24" s="23"/>
    </row>
    <row r="25" customFormat="false" ht="15" hidden="false" customHeight="false" outlineLevel="0" collapsed="false">
      <c r="A25" s="3" t="s">
        <v>335</v>
      </c>
      <c r="L25" s="3" t="n">
        <f aca="false">SUM(L2:L24)</f>
        <v>94</v>
      </c>
      <c r="M25" s="3" t="n">
        <f aca="false">SUM(M2:M24)</f>
        <v>136</v>
      </c>
      <c r="O25" s="3" t="n">
        <f aca="false">SUM(O2:O24)</f>
        <v>0</v>
      </c>
    </row>
  </sheetData>
  <conditionalFormatting sqref="N2:N24">
    <cfRule type="cellIs" priority="2" operator="equal" aboveAverage="0" equalAverage="0" bottom="0" percent="0" rank="0" text="" dxfId="0">
      <formula>"Done"</formula>
    </cfRule>
    <cfRule type="cellIs" priority="3" operator="equal" aboveAverage="0" equalAverage="0" bottom="0" percent="0" rank="0" text="" dxfId="1">
      <formula>"In progress"</formula>
    </cfRule>
  </conditionalFormatting>
  <dataValidations count="1">
    <dataValidation allowBlank="false" errorStyle="stop" operator="between" showDropDown="false" showErrorMessage="false" showInputMessage="false" sqref="N2:N24" type="list">
      <formula1>"Not started,In progress,Done"</formula1>
      <formula2>0</formula2>
    </dataValidation>
  </dataValidations>
  <hyperlinks>
    <hyperlink ref="F2" r:id="rId1" display="https://coginiti.co/learning/data-modeling/dimensional-modeling-star-schema/"/>
    <hyperlink ref="R2" r:id="rId2" display="https://learn.microsoft.com/power-bi/guidance/star-schema"/>
    <hyperlink ref="F3" r:id="rId3" display="https://learn.getdbt.com"/>
    <hyperlink ref="R3" r:id="rId4" display="https://docs.getdbt.com/docs/build/snapshots"/>
    <hyperlink ref="T3" r:id="rId5" display="https://www.kimballgroup.com/data-warehouse-business-intelligence-resources/kimball-techniques/dimensional-modeling-techniques/"/>
    <hyperlink ref="F4" r:id="rId6" display="https://dev.to/gowthampotureddi/data-vault-2-0-for-data-engineering-hubs-links-satellites-hash-keys-automation-4bah"/>
    <hyperlink ref="R4" r:id="rId7" display="https://automate-dv.readthedocs.io/en/latest/worked_example/"/>
    <hyperlink ref="T4" r:id="rId8" display="https://adr.github.io"/>
    <hyperlink ref="F5" r:id="rId9" display="https://learn.snowflake.com/en/certifications/snowpro-core-c03"/>
    <hyperlink ref="R5" r:id="rId10" display="https://docs.snowflake.com"/>
    <hyperlink ref="T5" r:id="rId11" display="https://learn.snowflake.com/en/pages/hands-on-essentials-track"/>
    <hyperlink ref="F6" r:id="rId12" display="https://docs.snowflake.com/en/user-guide/security-column-intro"/>
    <hyperlink ref="R6" r:id="rId13" display="https://docs.snowflake.com"/>
    <hyperlink ref="T6" r:id="rId14" display="https://learn.snowflake.com/en/certifications/snowpro-core-c03"/>
    <hyperlink ref="R7" r:id="rId15" display="https://learn.snowflake.com/en/certifications/snowpro-core-c03"/>
    <hyperlink ref="T7" r:id="rId16" display="https://docs.snowflake.com"/>
    <hyperlink ref="F8" r:id="rId17" display="https://learn.snowflake.com/courses/course-v1:snowflake+SPSG-ARA+A/about"/>
    <hyperlink ref="R8" r:id="rId18" display="https://docs.snowflake.com"/>
    <hyperlink ref="T8" r:id="rId19" display="https://www.oreilly.com/library/view/-/9781484292624/"/>
    <hyperlink ref="F9" r:id="rId20" display="https://docs.snowflake.com/en/user-guide/security-column-intro"/>
    <hyperlink ref="R9" r:id="rId21" display="https://docs.snowflake.com"/>
    <hyperlink ref="T9" r:id="rId22" display="https://learn.snowflake.com/courses/course-v1:snowflake+SPSG-ARA+A/about"/>
    <hyperlink ref="F10" r:id="rId23" display="https://quickstarts.snowflake.com"/>
    <hyperlink ref="R10" r:id="rId24" display="https://learn.snowflake.com/en/pages/hands-on-essentials-track"/>
    <hyperlink ref="T10" r:id="rId25" display="https://docs.snowflake.com"/>
    <hyperlink ref="F11" r:id="rId26" display="https://docs.snowflake.com"/>
    <hyperlink ref="R11" r:id="rId27" display="https://docs.snowflake.com/en/user-guide/sample-data"/>
    <hyperlink ref="T11" r:id="rId28" display="https://automate-dv.readthedocs.io/en/latest/worked_example/"/>
    <hyperlink ref="F12" r:id="rId29" display="https://docs.snowflake.com/en/user-guide/dynamic-tables-about"/>
    <hyperlink ref="R12" r:id="rId30" display="https://learn.snowflake.com/en/pages/hands-on-essentials-track"/>
    <hyperlink ref="T12" r:id="rId31" display="https://iceberg.apache.org/docs/latest/"/>
    <hyperlink ref="R13" r:id="rId32" display="https://learn.snowflake.com/courses/course-v1:snowflake+SPSG-ARA+A/about"/>
    <hyperlink ref="T13" r:id="rId33" display="https://learn.snowflake.com"/>
    <hyperlink ref="F14" r:id="rId34" display="https://www.skills.google/paths/16"/>
    <hyperlink ref="R14" r:id="rId35" display="https://discuss.google.dev/t/your-guide-to-preparing-for-the-google-cloud-professional-data-engineer-certification/107505"/>
    <hyperlink ref="T14" r:id="rId36" display="https://cloud.google.com/learn/certification/data-engineer"/>
    <hyperlink ref="F15" r:id="rId37" display="https://www.skills.google/paths/16"/>
    <hyperlink ref="R15" r:id="rId38" display="https://cloud.google.com/pubsub/docs"/>
    <hyperlink ref="T15" r:id="rId39" display="https://cloud.google.com/dataflow/docs"/>
    <hyperlink ref="F16" r:id="rId40" display="https://www.skills.google/paths/16"/>
    <hyperlink ref="R16" r:id="rId41" display="https://airflow.apache.org/docs/"/>
    <hyperlink ref="F17" r:id="rId42" display="https://www.skills.google/paths/16"/>
    <hyperlink ref="R17" r:id="rId43" display="https://cloud.google.com/dataplex/docs"/>
    <hyperlink ref="T17" r:id="rId44" display="https://cloud.google.com/sensitive-data-protection/docs"/>
    <hyperlink ref="R18" r:id="rId45" display="https://cloud.google.com/learn/certification/data-engineer"/>
    <hyperlink ref="T18" r:id="rId46" display="https://cloud.google.com/bigquery/docs"/>
    <hyperlink ref="F19" r:id="rId47" display="https://docs.getdbt.com/docs/build/data-tests"/>
    <hyperlink ref="R19" r:id="rId48" display="https://docs.open-metadata.org"/>
    <hyperlink ref="T19" r:id="rId49" display="https://openlineage.io"/>
    <hyperlink ref="F20" r:id="rId50" display="https://www.dama.org"/>
    <hyperlink ref="R20" r:id="rId51" display="https://www.udemy.com/course/do-it-yourself-cdmp-exam-preparation-dmbokv2-summary-notes/"/>
    <hyperlink ref="T20" r:id="rId52" display="https://cdmp.info"/>
    <hyperlink ref="F21" r:id="rId53" display="https://anthropic.skilljar.com/introduction-to-model-context-protocol/296690"/>
    <hyperlink ref="R21" r:id="rId54" display="https://learn.deeplearning.ai/courses/mcp-build-rich-context-ai-apps-with-anthropic/information"/>
    <hyperlink ref="T21" r:id="rId55" display="https://modelcontextprotocol.io"/>
    <hyperlink ref="F22" r:id="rId56" display="https://www.udemy.com/course/cdmp-data-management-exam-prep-800-practice-questions/"/>
    <hyperlink ref="T22" r:id="rId57" display="https://cdmp.info"/>
    <hyperlink ref="F23" r:id="rId58" display="https://c4model.com"/>
    <hyperlink ref="R23" r:id="rId59" display="https://adr.github.io"/>
    <hyperlink ref="F24" r:id="rId60" display="https://adr.github.io"/>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62"/>
    <col collapsed="false" customWidth="true" hidden="false" outlineLevel="0" max="3" min="3" style="0" width="16"/>
    <col collapsed="false" customWidth="true" hidden="false" outlineLevel="0" max="4" min="4" style="0" width="24"/>
    <col collapsed="false" customWidth="true" hidden="false" outlineLevel="0" max="5" min="5" style="0" width="22"/>
    <col collapsed="false" customWidth="true" hidden="false" outlineLevel="0" max="6" min="6" style="0" width="9"/>
    <col collapsed="false" customWidth="true" hidden="false" outlineLevel="0" max="7" min="7" style="0" width="12"/>
    <col collapsed="false" customWidth="true" hidden="false" outlineLevel="0" max="8" min="8" style="0" width="70"/>
    <col collapsed="false" customWidth="true" hidden="false" outlineLevel="0" max="9" min="9" style="0" width="14"/>
    <col collapsed="false" customWidth="true" hidden="false" outlineLevel="0" max="10" min="10" style="0" width="70"/>
  </cols>
  <sheetData>
    <row r="1" customFormat="false" ht="15" hidden="false" customHeight="false" outlineLevel="0" collapsed="false">
      <c r="A1" s="11" t="s">
        <v>78</v>
      </c>
      <c r="B1" s="11" t="s">
        <v>336</v>
      </c>
      <c r="C1" s="11" t="s">
        <v>337</v>
      </c>
      <c r="D1" s="11" t="s">
        <v>338</v>
      </c>
      <c r="E1" s="11" t="s">
        <v>339</v>
      </c>
      <c r="F1" s="11" t="s">
        <v>340</v>
      </c>
      <c r="G1" s="11" t="s">
        <v>341</v>
      </c>
      <c r="H1" s="11" t="s">
        <v>54</v>
      </c>
      <c r="I1" s="11" t="s">
        <v>80</v>
      </c>
      <c r="J1" s="11" t="s">
        <v>342</v>
      </c>
    </row>
    <row r="2" customFormat="false" ht="23.85" hidden="false" customHeight="false" outlineLevel="0" collapsed="false">
      <c r="A2" s="23" t="n">
        <v>1</v>
      </c>
      <c r="B2" s="23" t="s">
        <v>343</v>
      </c>
      <c r="C2" s="23" t="s">
        <v>344</v>
      </c>
      <c r="D2" s="23" t="s">
        <v>345</v>
      </c>
      <c r="E2" s="23"/>
      <c r="F2" s="23" t="s">
        <v>346</v>
      </c>
      <c r="G2" s="23" t="s">
        <v>347</v>
      </c>
      <c r="H2" s="28" t="s">
        <v>113</v>
      </c>
      <c r="I2" s="29" t="s">
        <v>84</v>
      </c>
      <c r="J2" s="23" t="s">
        <v>348</v>
      </c>
    </row>
    <row r="3" customFormat="false" ht="15" hidden="false" customHeight="false" outlineLevel="0" collapsed="false">
      <c r="A3" s="23" t="n">
        <v>2</v>
      </c>
      <c r="B3" s="23" t="s">
        <v>349</v>
      </c>
      <c r="C3" s="23" t="s">
        <v>350</v>
      </c>
      <c r="D3" s="23" t="s">
        <v>345</v>
      </c>
      <c r="E3" s="23"/>
      <c r="F3" s="23" t="s">
        <v>346</v>
      </c>
      <c r="G3" s="23" t="s">
        <v>347</v>
      </c>
      <c r="H3" s="28" t="s">
        <v>119</v>
      </c>
      <c r="I3" s="29" t="s">
        <v>84</v>
      </c>
      <c r="J3" s="23" t="s">
        <v>351</v>
      </c>
    </row>
    <row r="4" customFormat="false" ht="23.85" hidden="false" customHeight="false" outlineLevel="0" collapsed="false">
      <c r="A4" s="23" t="n">
        <v>3</v>
      </c>
      <c r="B4" s="23" t="s">
        <v>352</v>
      </c>
      <c r="C4" s="23" t="s">
        <v>353</v>
      </c>
      <c r="D4" s="23" t="s">
        <v>354</v>
      </c>
      <c r="E4" s="23"/>
      <c r="F4" s="23" t="s">
        <v>346</v>
      </c>
      <c r="G4" s="23" t="s">
        <v>355</v>
      </c>
      <c r="H4" s="23"/>
      <c r="I4" s="29" t="s">
        <v>84</v>
      </c>
      <c r="J4" s="23" t="s">
        <v>356</v>
      </c>
    </row>
    <row r="5" customFormat="false" ht="15" hidden="false" customHeight="false" outlineLevel="0" collapsed="false">
      <c r="A5" s="23" t="n">
        <v>4</v>
      </c>
      <c r="B5" s="23" t="s">
        <v>357</v>
      </c>
      <c r="C5" s="23" t="s">
        <v>358</v>
      </c>
      <c r="D5" s="23" t="s">
        <v>345</v>
      </c>
      <c r="E5" s="23"/>
      <c r="F5" s="23" t="s">
        <v>359</v>
      </c>
      <c r="G5" s="23" t="s">
        <v>360</v>
      </c>
      <c r="H5" s="28" t="s">
        <v>131</v>
      </c>
      <c r="I5" s="29" t="s">
        <v>84</v>
      </c>
      <c r="J5" s="23" t="s">
        <v>361</v>
      </c>
    </row>
    <row r="6" customFormat="false" ht="23.85" hidden="false" customHeight="false" outlineLevel="0" collapsed="false">
      <c r="A6" s="23" t="n">
        <v>5</v>
      </c>
      <c r="B6" s="23" t="s">
        <v>362</v>
      </c>
      <c r="C6" s="23" t="s">
        <v>363</v>
      </c>
      <c r="D6" s="23" t="s">
        <v>345</v>
      </c>
      <c r="E6" s="23" t="s">
        <v>364</v>
      </c>
      <c r="F6" s="23" t="s">
        <v>365</v>
      </c>
      <c r="G6" s="23" t="s">
        <v>347</v>
      </c>
      <c r="H6" s="28" t="s">
        <v>123</v>
      </c>
      <c r="I6" s="29" t="s">
        <v>84</v>
      </c>
      <c r="J6" s="23" t="s">
        <v>366</v>
      </c>
    </row>
    <row r="7" customFormat="false" ht="15" hidden="false" customHeight="false" outlineLevel="0" collapsed="false">
      <c r="A7" s="23" t="n">
        <v>6</v>
      </c>
      <c r="B7" s="23" t="s">
        <v>367</v>
      </c>
      <c r="C7" s="23" t="s">
        <v>368</v>
      </c>
      <c r="D7" s="23" t="s">
        <v>345</v>
      </c>
      <c r="E7" s="23"/>
      <c r="F7" s="23" t="s">
        <v>365</v>
      </c>
      <c r="G7" s="23" t="s">
        <v>347</v>
      </c>
      <c r="H7" s="28" t="s">
        <v>129</v>
      </c>
      <c r="I7" s="29" t="s">
        <v>84</v>
      </c>
      <c r="J7" s="23" t="s">
        <v>369</v>
      </c>
    </row>
    <row r="8" customFormat="false" ht="15" hidden="false" customHeight="false" outlineLevel="0" collapsed="false">
      <c r="A8" s="23" t="n">
        <v>7</v>
      </c>
      <c r="B8" s="23" t="s">
        <v>133</v>
      </c>
      <c r="C8" s="23" t="s">
        <v>350</v>
      </c>
      <c r="D8" s="23" t="s">
        <v>345</v>
      </c>
      <c r="E8" s="23"/>
      <c r="F8" s="23" t="s">
        <v>370</v>
      </c>
      <c r="G8" s="23" t="s">
        <v>347</v>
      </c>
      <c r="H8" s="28" t="s">
        <v>134</v>
      </c>
      <c r="I8" s="29" t="s">
        <v>84</v>
      </c>
      <c r="J8" s="23" t="s">
        <v>371</v>
      </c>
    </row>
    <row r="9" customFormat="false" ht="23.85" hidden="false" customHeight="false" outlineLevel="0" collapsed="false">
      <c r="A9" s="23" t="n">
        <v>8</v>
      </c>
      <c r="B9" s="23" t="s">
        <v>372</v>
      </c>
      <c r="C9" s="23" t="s">
        <v>373</v>
      </c>
      <c r="D9" s="23" t="s">
        <v>345</v>
      </c>
      <c r="E9" s="23"/>
      <c r="F9" s="23" t="s">
        <v>374</v>
      </c>
      <c r="G9" s="23" t="s">
        <v>347</v>
      </c>
      <c r="H9" s="28" t="s">
        <v>141</v>
      </c>
      <c r="I9" s="29" t="s">
        <v>84</v>
      </c>
      <c r="J9" s="23" t="s">
        <v>375</v>
      </c>
    </row>
    <row r="10" customFormat="false" ht="35.05" hidden="false" customHeight="false" outlineLevel="0" collapsed="false">
      <c r="A10" s="23" t="n">
        <v>9</v>
      </c>
      <c r="B10" s="23" t="s">
        <v>376</v>
      </c>
      <c r="C10" s="23" t="s">
        <v>377</v>
      </c>
      <c r="D10" s="23" t="s">
        <v>345</v>
      </c>
      <c r="E10" s="23"/>
      <c r="F10" s="23" t="s">
        <v>378</v>
      </c>
      <c r="G10" s="23" t="s">
        <v>347</v>
      </c>
      <c r="H10" s="28" t="s">
        <v>83</v>
      </c>
      <c r="I10" s="29" t="s">
        <v>84</v>
      </c>
      <c r="J10" s="23" t="s">
        <v>379</v>
      </c>
    </row>
    <row r="11" customFormat="false" ht="23.85" hidden="false" customHeight="false" outlineLevel="0" collapsed="false">
      <c r="A11" s="23" t="n">
        <v>10</v>
      </c>
      <c r="B11" s="23" t="s">
        <v>380</v>
      </c>
      <c r="C11" s="23" t="s">
        <v>368</v>
      </c>
      <c r="D11" s="23" t="s">
        <v>345</v>
      </c>
      <c r="E11" s="23"/>
      <c r="F11" s="23" t="s">
        <v>378</v>
      </c>
      <c r="G11" s="23" t="s">
        <v>347</v>
      </c>
      <c r="H11" s="28" t="s">
        <v>151</v>
      </c>
      <c r="I11" s="29" t="s">
        <v>84</v>
      </c>
      <c r="J11" s="23" t="s">
        <v>381</v>
      </c>
    </row>
    <row r="12" customFormat="false" ht="35.05" hidden="false" customHeight="false" outlineLevel="0" collapsed="false">
      <c r="A12" s="23" t="n">
        <v>11</v>
      </c>
      <c r="B12" s="23" t="s">
        <v>382</v>
      </c>
      <c r="C12" s="23" t="s">
        <v>383</v>
      </c>
      <c r="D12" s="23" t="s">
        <v>345</v>
      </c>
      <c r="E12" s="23"/>
      <c r="F12" s="23" t="s">
        <v>384</v>
      </c>
      <c r="G12" s="23" t="s">
        <v>355</v>
      </c>
      <c r="H12" s="28" t="s">
        <v>153</v>
      </c>
      <c r="I12" s="29" t="s">
        <v>84</v>
      </c>
      <c r="J12" s="23" t="s">
        <v>385</v>
      </c>
    </row>
    <row r="13" customFormat="false" ht="23.85" hidden="false" customHeight="false" outlineLevel="0" collapsed="false">
      <c r="A13" s="23" t="n">
        <v>12</v>
      </c>
      <c r="B13" s="23" t="s">
        <v>386</v>
      </c>
      <c r="C13" s="23" t="s">
        <v>387</v>
      </c>
      <c r="D13" s="23" t="s">
        <v>388</v>
      </c>
      <c r="E13" s="23" t="s">
        <v>389</v>
      </c>
      <c r="F13" s="23" t="s">
        <v>390</v>
      </c>
      <c r="G13" s="23" t="s">
        <v>347</v>
      </c>
      <c r="H13" s="28" t="s">
        <v>391</v>
      </c>
      <c r="I13" s="29" t="s">
        <v>84</v>
      </c>
      <c r="J13" s="23" t="s">
        <v>392</v>
      </c>
    </row>
    <row r="14" customFormat="false" ht="23.85" hidden="false" customHeight="false" outlineLevel="0" collapsed="false">
      <c r="A14" s="23" t="n">
        <v>13</v>
      </c>
      <c r="B14" s="23" t="s">
        <v>393</v>
      </c>
      <c r="C14" s="23" t="s">
        <v>387</v>
      </c>
      <c r="D14" s="23" t="s">
        <v>388</v>
      </c>
      <c r="E14" s="23" t="s">
        <v>394</v>
      </c>
      <c r="F14" s="23" t="s">
        <v>390</v>
      </c>
      <c r="G14" s="23" t="s">
        <v>355</v>
      </c>
      <c r="H14" s="28" t="s">
        <v>395</v>
      </c>
      <c r="I14" s="29" t="s">
        <v>84</v>
      </c>
      <c r="J14" s="23" t="s">
        <v>396</v>
      </c>
    </row>
    <row r="15" customFormat="false" ht="23.85" hidden="false" customHeight="false" outlineLevel="0" collapsed="false">
      <c r="A15" s="23" t="n">
        <v>14</v>
      </c>
      <c r="B15" s="23" t="s">
        <v>397</v>
      </c>
      <c r="C15" s="23" t="s">
        <v>387</v>
      </c>
      <c r="D15" s="23" t="s">
        <v>388</v>
      </c>
      <c r="E15" s="23" t="s">
        <v>398</v>
      </c>
      <c r="F15" s="23" t="s">
        <v>390</v>
      </c>
      <c r="G15" s="23" t="s">
        <v>355</v>
      </c>
      <c r="H15" s="28" t="s">
        <v>399</v>
      </c>
      <c r="I15" s="29" t="s">
        <v>84</v>
      </c>
      <c r="J15" s="23" t="s">
        <v>400</v>
      </c>
    </row>
    <row r="16" customFormat="false" ht="35.05" hidden="false" customHeight="false" outlineLevel="0" collapsed="false">
      <c r="A16" s="23" t="n">
        <v>15</v>
      </c>
      <c r="B16" s="23" t="s">
        <v>401</v>
      </c>
      <c r="C16" s="23" t="s">
        <v>402</v>
      </c>
      <c r="D16" s="23" t="s">
        <v>403</v>
      </c>
      <c r="E16" s="23"/>
      <c r="F16" s="23" t="s">
        <v>404</v>
      </c>
      <c r="G16" s="23" t="s">
        <v>347</v>
      </c>
      <c r="H16" s="28" t="s">
        <v>174</v>
      </c>
      <c r="I16" s="29" t="s">
        <v>84</v>
      </c>
      <c r="J16" s="23" t="s">
        <v>405</v>
      </c>
    </row>
    <row r="17" customFormat="false" ht="15" hidden="false" customHeight="false" outlineLevel="0" collapsed="false">
      <c r="A17" s="23" t="n">
        <v>16</v>
      </c>
      <c r="B17" s="23" t="s">
        <v>406</v>
      </c>
      <c r="C17" s="23" t="s">
        <v>368</v>
      </c>
      <c r="D17" s="23" t="s">
        <v>345</v>
      </c>
      <c r="E17" s="23"/>
      <c r="F17" s="23" t="s">
        <v>407</v>
      </c>
      <c r="G17" s="23" t="s">
        <v>347</v>
      </c>
      <c r="H17" s="28" t="s">
        <v>151</v>
      </c>
      <c r="I17" s="29" t="s">
        <v>84</v>
      </c>
      <c r="J17" s="23" t="s">
        <v>408</v>
      </c>
    </row>
    <row r="18" customFormat="false" ht="15" hidden="false" customHeight="false" outlineLevel="0" collapsed="false">
      <c r="A18" s="23" t="n">
        <v>17</v>
      </c>
      <c r="B18" s="23" t="s">
        <v>409</v>
      </c>
      <c r="C18" s="23" t="s">
        <v>410</v>
      </c>
      <c r="D18" s="23" t="s">
        <v>345</v>
      </c>
      <c r="E18" s="23"/>
      <c r="F18" s="23" t="s">
        <v>411</v>
      </c>
      <c r="G18" s="23" t="s">
        <v>347</v>
      </c>
      <c r="H18" s="28" t="s">
        <v>193</v>
      </c>
      <c r="I18" s="29" t="s">
        <v>84</v>
      </c>
      <c r="J18" s="23"/>
    </row>
    <row r="19" customFormat="false" ht="15" hidden="false" customHeight="false" outlineLevel="0" collapsed="false">
      <c r="A19" s="23" t="n">
        <v>18</v>
      </c>
      <c r="B19" s="23" t="s">
        <v>412</v>
      </c>
      <c r="C19" s="23" t="s">
        <v>353</v>
      </c>
      <c r="D19" s="23" t="s">
        <v>413</v>
      </c>
      <c r="E19" s="23"/>
      <c r="F19" s="23" t="s">
        <v>407</v>
      </c>
      <c r="G19" s="23" t="s">
        <v>355</v>
      </c>
      <c r="H19" s="28" t="s">
        <v>182</v>
      </c>
      <c r="I19" s="29" t="s">
        <v>84</v>
      </c>
      <c r="J19" s="23" t="s">
        <v>414</v>
      </c>
    </row>
    <row r="20" customFormat="false" ht="15" hidden="false" customHeight="false" outlineLevel="0" collapsed="false">
      <c r="A20" s="23" t="n">
        <v>19</v>
      </c>
      <c r="B20" s="23" t="s">
        <v>415</v>
      </c>
      <c r="C20" s="23" t="s">
        <v>416</v>
      </c>
      <c r="D20" s="23" t="s">
        <v>417</v>
      </c>
      <c r="E20" s="23" t="s">
        <v>418</v>
      </c>
      <c r="F20" s="23" t="s">
        <v>419</v>
      </c>
      <c r="G20" s="23" t="s">
        <v>347</v>
      </c>
      <c r="H20" s="28" t="s">
        <v>231</v>
      </c>
      <c r="I20" s="29" t="s">
        <v>84</v>
      </c>
      <c r="J20" s="23" t="s">
        <v>420</v>
      </c>
    </row>
    <row r="21" customFormat="false" ht="23.85" hidden="false" customHeight="false" outlineLevel="0" collapsed="false">
      <c r="A21" s="23" t="n">
        <v>20</v>
      </c>
      <c r="B21" s="23" t="s">
        <v>421</v>
      </c>
      <c r="C21" s="23" t="s">
        <v>344</v>
      </c>
      <c r="D21" s="23" t="s">
        <v>345</v>
      </c>
      <c r="E21" s="23"/>
      <c r="F21" s="23" t="s">
        <v>422</v>
      </c>
      <c r="G21" s="23" t="s">
        <v>347</v>
      </c>
      <c r="H21" s="28" t="s">
        <v>238</v>
      </c>
      <c r="I21" s="29" t="s">
        <v>84</v>
      </c>
      <c r="J21" s="23" t="s">
        <v>423</v>
      </c>
    </row>
    <row r="22" customFormat="false" ht="15" hidden="false" customHeight="false" outlineLevel="0" collapsed="false">
      <c r="A22" s="23" t="n">
        <v>21</v>
      </c>
      <c r="B22" s="23" t="s">
        <v>424</v>
      </c>
      <c r="C22" s="23" t="s">
        <v>402</v>
      </c>
      <c r="D22" s="23" t="s">
        <v>345</v>
      </c>
      <c r="E22" s="23"/>
      <c r="F22" s="23" t="s">
        <v>425</v>
      </c>
      <c r="G22" s="23" t="s">
        <v>347</v>
      </c>
      <c r="H22" s="28" t="s">
        <v>240</v>
      </c>
      <c r="I22" s="29" t="s">
        <v>84</v>
      </c>
      <c r="J22" s="23" t="s">
        <v>426</v>
      </c>
    </row>
    <row r="23" customFormat="false" ht="15" hidden="false" customHeight="false" outlineLevel="0" collapsed="false">
      <c r="A23" s="23" t="n">
        <v>22</v>
      </c>
      <c r="B23" s="23" t="s">
        <v>427</v>
      </c>
      <c r="C23" s="23" t="s">
        <v>368</v>
      </c>
      <c r="D23" s="23" t="s">
        <v>345</v>
      </c>
      <c r="E23" s="23"/>
      <c r="F23" s="23" t="s">
        <v>428</v>
      </c>
      <c r="G23" s="23" t="s">
        <v>347</v>
      </c>
      <c r="H23" s="28" t="s">
        <v>248</v>
      </c>
      <c r="I23" s="29" t="s">
        <v>84</v>
      </c>
      <c r="J23" s="23"/>
    </row>
    <row r="24" customFormat="false" ht="15" hidden="false" customHeight="false" outlineLevel="0" collapsed="false">
      <c r="A24" s="23" t="n">
        <v>23</v>
      </c>
      <c r="B24" s="23" t="s">
        <v>257</v>
      </c>
      <c r="C24" s="23" t="s">
        <v>368</v>
      </c>
      <c r="D24" s="23" t="s">
        <v>345</v>
      </c>
      <c r="E24" s="23"/>
      <c r="F24" s="23" t="s">
        <v>429</v>
      </c>
      <c r="G24" s="23" t="s">
        <v>347</v>
      </c>
      <c r="H24" s="28" t="s">
        <v>258</v>
      </c>
      <c r="I24" s="29" t="s">
        <v>84</v>
      </c>
      <c r="J24" s="23"/>
    </row>
    <row r="25" customFormat="false" ht="15" hidden="false" customHeight="false" outlineLevel="0" collapsed="false">
      <c r="A25" s="23" t="n">
        <v>24</v>
      </c>
      <c r="B25" s="23" t="s">
        <v>265</v>
      </c>
      <c r="C25" s="23" t="s">
        <v>368</v>
      </c>
      <c r="D25" s="23" t="s">
        <v>345</v>
      </c>
      <c r="E25" s="23"/>
      <c r="F25" s="23" t="s">
        <v>430</v>
      </c>
      <c r="G25" s="23" t="s">
        <v>347</v>
      </c>
      <c r="H25" s="28" t="s">
        <v>266</v>
      </c>
      <c r="I25" s="29" t="s">
        <v>84</v>
      </c>
      <c r="J25" s="23"/>
    </row>
    <row r="26" customFormat="false" ht="15" hidden="false" customHeight="false" outlineLevel="0" collapsed="false">
      <c r="A26" s="23" t="n">
        <v>25</v>
      </c>
      <c r="B26" s="23" t="s">
        <v>431</v>
      </c>
      <c r="C26" s="23" t="s">
        <v>353</v>
      </c>
      <c r="D26" s="23" t="s">
        <v>432</v>
      </c>
      <c r="E26" s="23"/>
      <c r="F26" s="23" t="s">
        <v>425</v>
      </c>
      <c r="G26" s="23" t="s">
        <v>355</v>
      </c>
      <c r="H26" s="23"/>
      <c r="I26" s="29" t="s">
        <v>84</v>
      </c>
      <c r="J26" s="23" t="s">
        <v>433</v>
      </c>
    </row>
    <row r="27" customFormat="false" ht="15" hidden="false" customHeight="false" outlineLevel="0" collapsed="false">
      <c r="A27" s="23" t="n">
        <v>26</v>
      </c>
      <c r="B27" s="23" t="s">
        <v>280</v>
      </c>
      <c r="C27" s="23" t="s">
        <v>368</v>
      </c>
      <c r="D27" s="23" t="s">
        <v>345</v>
      </c>
      <c r="E27" s="23"/>
      <c r="F27" s="23" t="s">
        <v>434</v>
      </c>
      <c r="G27" s="23" t="s">
        <v>347</v>
      </c>
      <c r="H27" s="28" t="s">
        <v>281</v>
      </c>
      <c r="I27" s="29" t="s">
        <v>84</v>
      </c>
      <c r="J27" s="23"/>
    </row>
    <row r="28" customFormat="false" ht="15" hidden="false" customHeight="false" outlineLevel="0" collapsed="false">
      <c r="A28" s="23" t="n">
        <v>27</v>
      </c>
      <c r="B28" s="23" t="s">
        <v>435</v>
      </c>
      <c r="C28" s="23" t="s">
        <v>368</v>
      </c>
      <c r="D28" s="23" t="s">
        <v>345</v>
      </c>
      <c r="E28" s="23"/>
      <c r="F28" s="23" t="s">
        <v>434</v>
      </c>
      <c r="G28" s="23" t="s">
        <v>355</v>
      </c>
      <c r="H28" s="28" t="s">
        <v>288</v>
      </c>
      <c r="I28" s="29" t="s">
        <v>84</v>
      </c>
      <c r="J28" s="23" t="s">
        <v>436</v>
      </c>
    </row>
    <row r="29" customFormat="false" ht="15" hidden="false" customHeight="false" outlineLevel="0" collapsed="false">
      <c r="A29" s="23" t="n">
        <v>28</v>
      </c>
      <c r="B29" s="23" t="s">
        <v>289</v>
      </c>
      <c r="C29" s="23" t="s">
        <v>368</v>
      </c>
      <c r="D29" s="23" t="s">
        <v>345</v>
      </c>
      <c r="E29" s="23"/>
      <c r="F29" s="23" t="s">
        <v>434</v>
      </c>
      <c r="G29" s="23" t="s">
        <v>355</v>
      </c>
      <c r="H29" s="28" t="s">
        <v>290</v>
      </c>
      <c r="I29" s="29" t="s">
        <v>84</v>
      </c>
      <c r="J29" s="23"/>
    </row>
    <row r="30" customFormat="false" ht="15" hidden="false" customHeight="false" outlineLevel="0" collapsed="false">
      <c r="A30" s="23" t="n">
        <v>29</v>
      </c>
      <c r="B30" s="23" t="s">
        <v>437</v>
      </c>
      <c r="C30" s="23" t="s">
        <v>358</v>
      </c>
      <c r="D30" s="23" t="s">
        <v>345</v>
      </c>
      <c r="E30" s="23"/>
      <c r="F30" s="23" t="s">
        <v>438</v>
      </c>
      <c r="G30" s="23" t="s">
        <v>347</v>
      </c>
      <c r="H30" s="28" t="s">
        <v>293</v>
      </c>
      <c r="I30" s="29" t="s">
        <v>84</v>
      </c>
      <c r="J30" s="23"/>
    </row>
    <row r="31" customFormat="false" ht="15" hidden="false" customHeight="false" outlineLevel="0" collapsed="false">
      <c r="A31" s="23" t="n">
        <v>30</v>
      </c>
      <c r="B31" s="23" t="s">
        <v>300</v>
      </c>
      <c r="C31" s="23" t="s">
        <v>377</v>
      </c>
      <c r="D31" s="23" t="s">
        <v>345</v>
      </c>
      <c r="E31" s="23"/>
      <c r="F31" s="23" t="s">
        <v>439</v>
      </c>
      <c r="G31" s="23" t="s">
        <v>347</v>
      </c>
      <c r="H31" s="28" t="s">
        <v>301</v>
      </c>
      <c r="I31" s="29" t="s">
        <v>84</v>
      </c>
      <c r="J31" s="23" t="s">
        <v>440</v>
      </c>
    </row>
    <row r="32" customFormat="false" ht="23.85" hidden="false" customHeight="false" outlineLevel="0" collapsed="false">
      <c r="A32" s="23" t="n">
        <v>31</v>
      </c>
      <c r="B32" s="23" t="s">
        <v>441</v>
      </c>
      <c r="C32" s="23" t="s">
        <v>442</v>
      </c>
      <c r="D32" s="23" t="s">
        <v>388</v>
      </c>
      <c r="E32" s="23"/>
      <c r="F32" s="23" t="s">
        <v>443</v>
      </c>
      <c r="G32" s="23" t="s">
        <v>355</v>
      </c>
      <c r="H32" s="28" t="s">
        <v>299</v>
      </c>
      <c r="I32" s="29" t="s">
        <v>84</v>
      </c>
      <c r="J32" s="23" t="s">
        <v>444</v>
      </c>
    </row>
    <row r="33" customFormat="false" ht="23.85" hidden="false" customHeight="false" outlineLevel="0" collapsed="false">
      <c r="A33" s="23" t="n">
        <v>32</v>
      </c>
      <c r="B33" s="23" t="s">
        <v>445</v>
      </c>
      <c r="C33" s="23" t="s">
        <v>387</v>
      </c>
      <c r="D33" s="23" t="s">
        <v>388</v>
      </c>
      <c r="E33" s="23" t="s">
        <v>446</v>
      </c>
      <c r="F33" s="23" t="s">
        <v>447</v>
      </c>
      <c r="G33" s="23" t="s">
        <v>347</v>
      </c>
      <c r="H33" s="28" t="s">
        <v>315</v>
      </c>
      <c r="I33" s="29" t="s">
        <v>84</v>
      </c>
      <c r="J33" s="23" t="s">
        <v>448</v>
      </c>
    </row>
    <row r="34" customFormat="false" ht="15" hidden="false" customHeight="false" outlineLevel="0" collapsed="false">
      <c r="A34" s="23" t="n">
        <v>33</v>
      </c>
      <c r="B34" s="23" t="s">
        <v>449</v>
      </c>
      <c r="C34" s="23" t="s">
        <v>363</v>
      </c>
      <c r="D34" s="23" t="s">
        <v>345</v>
      </c>
      <c r="E34" s="23"/>
      <c r="F34" s="23" t="s">
        <v>450</v>
      </c>
      <c r="G34" s="23" t="s">
        <v>347</v>
      </c>
      <c r="H34" s="28" t="s">
        <v>304</v>
      </c>
      <c r="I34" s="29" t="s">
        <v>84</v>
      </c>
      <c r="J34" s="23" t="s">
        <v>451</v>
      </c>
    </row>
    <row r="35" customFormat="false" ht="23.85" hidden="false" customHeight="false" outlineLevel="0" collapsed="false">
      <c r="A35" s="23" t="n">
        <v>34</v>
      </c>
      <c r="B35" s="23" t="s">
        <v>452</v>
      </c>
      <c r="C35" s="23" t="s">
        <v>453</v>
      </c>
      <c r="D35" s="23" t="s">
        <v>454</v>
      </c>
      <c r="E35" s="23" t="s">
        <v>455</v>
      </c>
      <c r="F35" s="23" t="s">
        <v>450</v>
      </c>
      <c r="G35" s="23" t="s">
        <v>347</v>
      </c>
      <c r="H35" s="28" t="s">
        <v>310</v>
      </c>
      <c r="I35" s="29" t="s">
        <v>84</v>
      </c>
      <c r="J35" s="23" t="s">
        <v>456</v>
      </c>
    </row>
    <row r="36" customFormat="false" ht="15" hidden="false" customHeight="false" outlineLevel="0" collapsed="false">
      <c r="A36" s="23" t="n">
        <v>35</v>
      </c>
      <c r="B36" s="23" t="s">
        <v>457</v>
      </c>
      <c r="C36" s="23" t="s">
        <v>368</v>
      </c>
      <c r="D36" s="23" t="s">
        <v>345</v>
      </c>
      <c r="E36" s="23"/>
      <c r="F36" s="23" t="s">
        <v>450</v>
      </c>
      <c r="G36" s="23" t="s">
        <v>347</v>
      </c>
      <c r="H36" s="28" t="s">
        <v>312</v>
      </c>
      <c r="I36" s="29" t="s">
        <v>84</v>
      </c>
      <c r="J36" s="23"/>
    </row>
    <row r="37" customFormat="false" ht="15" hidden="false" customHeight="false" outlineLevel="0" collapsed="false">
      <c r="A37" s="23" t="n">
        <v>36</v>
      </c>
      <c r="B37" s="23" t="s">
        <v>458</v>
      </c>
      <c r="C37" s="23" t="s">
        <v>459</v>
      </c>
      <c r="D37" s="23" t="s">
        <v>345</v>
      </c>
      <c r="E37" s="23"/>
      <c r="F37" s="23" t="s">
        <v>460</v>
      </c>
      <c r="G37" s="23" t="s">
        <v>355</v>
      </c>
      <c r="H37" s="28" t="s">
        <v>461</v>
      </c>
      <c r="I37" s="29" t="s">
        <v>84</v>
      </c>
      <c r="J37" s="23" t="s">
        <v>462</v>
      </c>
    </row>
    <row r="38" customFormat="false" ht="15" hidden="false" customHeight="false" outlineLevel="0" collapsed="false">
      <c r="A38" s="23" t="n">
        <v>37</v>
      </c>
      <c r="B38" s="23" t="s">
        <v>323</v>
      </c>
      <c r="C38" s="23" t="s">
        <v>358</v>
      </c>
      <c r="D38" s="23" t="s">
        <v>345</v>
      </c>
      <c r="E38" s="23"/>
      <c r="F38" s="23" t="s">
        <v>463</v>
      </c>
      <c r="G38" s="23" t="s">
        <v>347</v>
      </c>
      <c r="H38" s="28" t="s">
        <v>324</v>
      </c>
      <c r="I38" s="29" t="s">
        <v>84</v>
      </c>
      <c r="J38" s="23"/>
    </row>
    <row r="39" customFormat="false" ht="15" hidden="false" customHeight="false" outlineLevel="0" collapsed="false">
      <c r="A39" s="23" t="n">
        <v>38</v>
      </c>
      <c r="B39" s="23" t="s">
        <v>464</v>
      </c>
      <c r="C39" s="23" t="s">
        <v>358</v>
      </c>
      <c r="D39" s="23" t="s">
        <v>345</v>
      </c>
      <c r="E39" s="23"/>
      <c r="F39" s="23" t="s">
        <v>465</v>
      </c>
      <c r="G39" s="23" t="s">
        <v>347</v>
      </c>
      <c r="H39" s="28" t="s">
        <v>143</v>
      </c>
      <c r="I39" s="29" t="s">
        <v>84</v>
      </c>
      <c r="J39" s="23"/>
    </row>
    <row r="41" customFormat="false" ht="15" hidden="false" customHeight="false" outlineLevel="0" collapsed="false">
      <c r="A41" s="2" t="s">
        <v>466</v>
      </c>
    </row>
  </sheetData>
  <conditionalFormatting sqref="I2:I39">
    <cfRule type="cellIs" priority="2" operator="equal" aboveAverage="0" equalAverage="0" bottom="0" percent="0" rank="0" text="" dxfId="0">
      <formula>"Done"</formula>
    </cfRule>
    <cfRule type="cellIs" priority="3" operator="equal" aboveAverage="0" equalAverage="0" bottom="0" percent="0" rank="0" text="" dxfId="1">
      <formula>"In progress"</formula>
    </cfRule>
  </conditionalFormatting>
  <dataValidations count="1">
    <dataValidation allowBlank="false" errorStyle="stop" operator="between" showDropDown="false" showErrorMessage="false" showInputMessage="false" sqref="I2:I39" type="list">
      <formula1>"Not started,In progress,Done,Skipped"</formula1>
      <formula2>0</formula2>
    </dataValidation>
  </dataValidations>
  <hyperlinks>
    <hyperlink ref="H2" r:id="rId1" display="https://coginiti.co/learning/data-modeling/dimensional-modeling-star-schema/"/>
    <hyperlink ref="H3" r:id="rId2" display="https://learn.microsoft.com/power-bi/guidance/star-schema"/>
    <hyperlink ref="H5" r:id="rId3" display="https://www.kimballgroup.com/data-warehouse-business-intelligence-resources/kimball-techniques/dimensional-modeling-techniques/"/>
    <hyperlink ref="H6" r:id="rId4" display="https://learn.getdbt.com"/>
    <hyperlink ref="H7" r:id="rId5" display="https://docs.getdbt.com/docs/build/snapshots"/>
    <hyperlink ref="H8" r:id="rId6" display="https://dev.to/gowthampotureddi/data-vault-2-0-for-data-engineering-hubs-links-satellites-hash-keys-automation-4bah"/>
    <hyperlink ref="H9" r:id="rId7" display="https://automate-dv.readthedocs.io/en/latest/worked_example/"/>
    <hyperlink ref="H10" r:id="rId8" display="https://learn.snowflake.com/en/certifications/snowpro-core-c03"/>
    <hyperlink ref="H11" r:id="rId9" display="https://docs.snowflake.com"/>
    <hyperlink ref="H12" r:id="rId10" display="https://learn.snowflake.com/en/pages/hands-on-essentials-track"/>
    <hyperlink ref="H13" r:id="rId11" display="https://www.udemy.com/course/snowflake-core-cof-c03-certification-practice-tests/"/>
    <hyperlink ref="H14" r:id="rId12" display="https://www.udemy.com/course/5-practice-exams-cof-c02-snowflake-core-certification"/>
    <hyperlink ref="H15" r:id="rId13" display="https://www.udemy.com/course/snowpro-core-certification-exam-practice-tests/"/>
    <hyperlink ref="H16" r:id="rId14" display="https://learn.snowflake.com/courses/course-v1:snowflake+SPSG-ARA+A/about"/>
    <hyperlink ref="H17" r:id="rId15" display="https://docs.snowflake.com"/>
    <hyperlink ref="H18" r:id="rId16" display="https://quickstarts.snowflake.com"/>
    <hyperlink ref="H19" r:id="rId17" display="https://www.oreilly.com/library/view/-/9781484292624/"/>
    <hyperlink ref="H20" r:id="rId18" display="https://www.skills.google/paths/16"/>
    <hyperlink ref="H21" r:id="rId19" display="https://discuss.google.dev/t/your-guide-to-preparing-for-the-google-cloud-professional-data-engineer-certification/107505"/>
    <hyperlink ref="H22" r:id="rId20" display="https://cloud.google.com/learn/certification/data-engineer"/>
    <hyperlink ref="H23" r:id="rId21" display="https://cloud.google.com/pubsub/docs"/>
    <hyperlink ref="H24" r:id="rId22" display="https://airflow.apache.org/docs/"/>
    <hyperlink ref="H25" r:id="rId23" display="https://cloud.google.com/dataplex/docs"/>
    <hyperlink ref="H27" r:id="rId24" display="https://docs.getdbt.com/docs/build/data-tests"/>
    <hyperlink ref="H28" r:id="rId25" display="https://docs.open-metadata.org"/>
    <hyperlink ref="H29" r:id="rId26" display="https://openlineage.io"/>
    <hyperlink ref="H30" r:id="rId27" display="https://www.dama.org"/>
    <hyperlink ref="H31" r:id="rId28" display="https://cdmp.info"/>
    <hyperlink ref="H32" r:id="rId29" display="https://www.udemy.com/course/do-it-yourself-cdmp-exam-preparation-dmbokv2-summary-notes/"/>
    <hyperlink ref="H33" r:id="rId30" display="https://www.udemy.com/course/cdmp-data-management-exam-prep-800-practice-questions/"/>
    <hyperlink ref="H34" r:id="rId31" display="https://anthropic.skilljar.com/introduction-to-model-context-protocol/296690"/>
    <hyperlink ref="H35" r:id="rId32" display="https://learn.deeplearning.ai/courses/mcp-build-rich-context-ai-apps-with-anthropic/information"/>
    <hyperlink ref="H36" r:id="rId33" display="https://modelcontextprotocol.io"/>
    <hyperlink ref="H37" r:id="rId34" display="https://www.cnil.fr"/>
    <hyperlink ref="H38" r:id="rId35" display="https://c4model.com"/>
    <hyperlink ref="H39" r:id="rId36" display="https://adr.github.io"/>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5" hidden="false" customHeight="false" outlineLevel="0" collapsed="false">
      <c r="A1" s="11" t="s">
        <v>467</v>
      </c>
      <c r="B1" s="11" t="s">
        <v>468</v>
      </c>
    </row>
    <row r="2" customFormat="false" ht="15" hidden="false" customHeight="false" outlineLevel="0" collapsed="false">
      <c r="A2" s="22" t="s">
        <v>469</v>
      </c>
      <c r="B2" s="23" t="s">
        <v>470</v>
      </c>
    </row>
    <row r="3" customFormat="false" ht="23.85" hidden="false" customHeight="false" outlineLevel="0" collapsed="false">
      <c r="A3" s="22" t="s">
        <v>471</v>
      </c>
      <c r="B3" s="23" t="s">
        <v>472</v>
      </c>
    </row>
    <row r="4" customFormat="false" ht="23.85" hidden="false" customHeight="false" outlineLevel="0" collapsed="false">
      <c r="A4" s="22" t="s">
        <v>473</v>
      </c>
      <c r="B4" s="23" t="s">
        <v>474</v>
      </c>
    </row>
    <row r="5" customFormat="false" ht="15" hidden="false" customHeight="false" outlineLevel="0" collapsed="false">
      <c r="A5" s="22" t="s">
        <v>475</v>
      </c>
      <c r="B5" s="23" t="s">
        <v>476</v>
      </c>
    </row>
    <row r="6" customFormat="false" ht="23.85" hidden="false" customHeight="false" outlineLevel="0" collapsed="false">
      <c r="A6" s="22" t="s">
        <v>477</v>
      </c>
      <c r="B6" s="23" t="s">
        <v>478</v>
      </c>
    </row>
    <row r="7" customFormat="false" ht="23.85" hidden="false" customHeight="false" outlineLevel="0" collapsed="false">
      <c r="A7" s="22" t="s">
        <v>479</v>
      </c>
      <c r="B7" s="23" t="s">
        <v>480</v>
      </c>
    </row>
    <row r="8" customFormat="false" ht="23.85" hidden="false" customHeight="false" outlineLevel="0" collapsed="false">
      <c r="A8" s="22" t="s">
        <v>481</v>
      </c>
      <c r="B8" s="23" t="s">
        <v>482</v>
      </c>
    </row>
    <row r="9" customFormat="false" ht="23.85" hidden="false" customHeight="false" outlineLevel="0" collapsed="false">
      <c r="A9" s="22" t="s">
        <v>483</v>
      </c>
      <c r="B9" s="23" t="s">
        <v>484</v>
      </c>
    </row>
    <row r="10" customFormat="false" ht="23.85" hidden="false" customHeight="false" outlineLevel="0" collapsed="false">
      <c r="A10" s="22" t="s">
        <v>485</v>
      </c>
      <c r="B10" s="23" t="s">
        <v>486</v>
      </c>
    </row>
    <row r="11" customFormat="false" ht="15" hidden="false" customHeight="false" outlineLevel="0" collapsed="false">
      <c r="A11" s="22" t="s">
        <v>487</v>
      </c>
      <c r="B11" s="23" t="s">
        <v>488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1"/>
    <col collapsed="false" customWidth="true" hidden="false" outlineLevel="0" max="3" min="3" style="0" width="9"/>
    <col collapsed="false" customWidth="true" hidden="false" outlineLevel="0" max="5" min="4" style="0" width="44"/>
    <col collapsed="false" customWidth="true" hidden="false" outlineLevel="0" max="6" min="6" style="0" width="16"/>
    <col collapsed="false" customWidth="true" hidden="false" outlineLevel="0" max="7" min="7" style="0" width="24"/>
    <col collapsed="false" customWidth="true" hidden="false" outlineLevel="0" max="8" min="8" style="0" width="12"/>
    <col collapsed="false" customWidth="true" hidden="false" outlineLevel="0" max="9" min="9" style="0" width="13"/>
    <col collapsed="false" customWidth="true" hidden="false" outlineLevel="0" max="10" min="10" style="0" width="14"/>
    <col collapsed="false" customWidth="true" hidden="false" outlineLevel="0" max="11" min="11" style="0" width="60"/>
  </cols>
  <sheetData>
    <row r="1" customFormat="false" ht="42" hidden="false" customHeight="true" outlineLevel="0" collapsed="false">
      <c r="A1" s="11" t="s">
        <v>489</v>
      </c>
      <c r="B1" s="11" t="s">
        <v>341</v>
      </c>
      <c r="C1" s="11" t="s">
        <v>340</v>
      </c>
      <c r="D1" s="11" t="s">
        <v>490</v>
      </c>
      <c r="E1" s="11" t="s">
        <v>491</v>
      </c>
      <c r="F1" s="11" t="s">
        <v>492</v>
      </c>
      <c r="G1" s="11" t="s">
        <v>493</v>
      </c>
      <c r="H1" s="11" t="s">
        <v>494</v>
      </c>
      <c r="I1" s="11" t="s">
        <v>495</v>
      </c>
      <c r="J1" s="11" t="s">
        <v>80</v>
      </c>
      <c r="K1" s="11" t="s">
        <v>496</v>
      </c>
    </row>
    <row r="2" customFormat="false" ht="23.85" hidden="false" customHeight="false" outlineLevel="0" collapsed="false">
      <c r="A2" s="23" t="s">
        <v>497</v>
      </c>
      <c r="B2" s="23" t="s">
        <v>347</v>
      </c>
      <c r="C2" s="23" t="s">
        <v>378</v>
      </c>
      <c r="D2" s="23" t="s">
        <v>498</v>
      </c>
      <c r="E2" s="29"/>
      <c r="F2" s="38"/>
      <c r="G2" s="23" t="str">
        <f aca="true">IF(F2="","",IF(TODAY()-F2&lt;=365,"Yes","No: check another course"))</f>
        <v/>
      </c>
      <c r="H2" s="29"/>
      <c r="I2" s="29"/>
      <c r="J2" s="29" t="s">
        <v>84</v>
      </c>
      <c r="K2" s="23" t="s">
        <v>499</v>
      </c>
    </row>
    <row r="3" customFormat="false" ht="46.25" hidden="false" customHeight="false" outlineLevel="0" collapsed="false">
      <c r="A3" s="23" t="s">
        <v>500</v>
      </c>
      <c r="B3" s="23" t="s">
        <v>347</v>
      </c>
      <c r="C3" s="23" t="s">
        <v>390</v>
      </c>
      <c r="D3" s="23" t="s">
        <v>501</v>
      </c>
      <c r="E3" s="29"/>
      <c r="F3" s="38"/>
      <c r="G3" s="23" t="str">
        <f aca="true">IF(F3="","",IF(TODAY()-F3&lt;=365,"Yes","No: check another course"))</f>
        <v/>
      </c>
      <c r="H3" s="29"/>
      <c r="I3" s="29"/>
      <c r="J3" s="29" t="s">
        <v>84</v>
      </c>
      <c r="K3" s="23" t="s">
        <v>502</v>
      </c>
    </row>
    <row r="4" customFormat="false" ht="15" hidden="false" customHeight="false" outlineLevel="0" collapsed="false">
      <c r="A4" s="23" t="s">
        <v>503</v>
      </c>
      <c r="B4" s="23" t="s">
        <v>347</v>
      </c>
      <c r="C4" s="23" t="s">
        <v>404</v>
      </c>
      <c r="D4" s="23" t="s">
        <v>504</v>
      </c>
      <c r="E4" s="29"/>
      <c r="F4" s="38"/>
      <c r="G4" s="23" t="str">
        <f aca="true">IF(F4="","",IF(TODAY()-F4&lt;=365,"Yes","No: check another course"))</f>
        <v/>
      </c>
      <c r="H4" s="29"/>
      <c r="I4" s="29"/>
      <c r="J4" s="29" t="s">
        <v>84</v>
      </c>
      <c r="K4" s="23" t="s">
        <v>505</v>
      </c>
    </row>
    <row r="5" customFormat="false" ht="15" hidden="false" customHeight="false" outlineLevel="0" collapsed="false">
      <c r="A5" s="23" t="s">
        <v>506</v>
      </c>
      <c r="B5" s="23" t="s">
        <v>347</v>
      </c>
      <c r="C5" s="23" t="s">
        <v>507</v>
      </c>
      <c r="D5" s="23" t="s">
        <v>508</v>
      </c>
      <c r="E5" s="29"/>
      <c r="F5" s="38"/>
      <c r="G5" s="23" t="str">
        <f aca="true">IF(F5="","",IF(TODAY()-F5&lt;=365,"Yes","No: check another course"))</f>
        <v/>
      </c>
      <c r="H5" s="29"/>
      <c r="I5" s="29"/>
      <c r="J5" s="29" t="s">
        <v>84</v>
      </c>
      <c r="K5" s="23" t="s">
        <v>505</v>
      </c>
    </row>
    <row r="6" customFormat="false" ht="15" hidden="false" customHeight="false" outlineLevel="0" collapsed="false">
      <c r="A6" s="23" t="s">
        <v>509</v>
      </c>
      <c r="B6" s="23" t="s">
        <v>347</v>
      </c>
      <c r="C6" s="23" t="s">
        <v>425</v>
      </c>
      <c r="D6" s="23" t="s">
        <v>510</v>
      </c>
      <c r="E6" s="29"/>
      <c r="F6" s="38"/>
      <c r="G6" s="23" t="str">
        <f aca="true">IF(F6="","",IF(TODAY()-F6&lt;=365,"Yes","No: check another course"))</f>
        <v/>
      </c>
      <c r="H6" s="29"/>
      <c r="I6" s="29"/>
      <c r="J6" s="29" t="s">
        <v>84</v>
      </c>
      <c r="K6" s="23" t="s">
        <v>505</v>
      </c>
    </row>
    <row r="7" customFormat="false" ht="15" hidden="false" customHeight="false" outlineLevel="0" collapsed="false">
      <c r="A7" s="23" t="s">
        <v>511</v>
      </c>
      <c r="B7" s="23" t="s">
        <v>347</v>
      </c>
      <c r="C7" s="23" t="s">
        <v>512</v>
      </c>
      <c r="D7" s="23" t="s">
        <v>513</v>
      </c>
      <c r="E7" s="29"/>
      <c r="F7" s="38"/>
      <c r="G7" s="23" t="str">
        <f aca="true">IF(F7="","",IF(TODAY()-F7&lt;=365,"Yes","No: check another course"))</f>
        <v/>
      </c>
      <c r="H7" s="29"/>
      <c r="I7" s="29"/>
      <c r="J7" s="29" t="s">
        <v>84</v>
      </c>
      <c r="K7" s="23" t="s">
        <v>505</v>
      </c>
    </row>
    <row r="8" customFormat="false" ht="35.05" hidden="false" customHeight="false" outlineLevel="0" collapsed="false">
      <c r="A8" s="23" t="s">
        <v>514</v>
      </c>
      <c r="B8" s="23" t="s">
        <v>347</v>
      </c>
      <c r="C8" s="23" t="s">
        <v>443</v>
      </c>
      <c r="D8" s="23" t="s">
        <v>515</v>
      </c>
      <c r="E8" s="29"/>
      <c r="F8" s="38"/>
      <c r="G8" s="23" t="str">
        <f aca="true">IF(F8="","",IF(TODAY()-F8&lt;=365,"Yes","No: check another course"))</f>
        <v/>
      </c>
      <c r="H8" s="29"/>
      <c r="I8" s="29"/>
      <c r="J8" s="29" t="s">
        <v>84</v>
      </c>
      <c r="K8" s="23" t="s">
        <v>516</v>
      </c>
    </row>
    <row r="9" customFormat="false" ht="15" hidden="false" customHeight="false" outlineLevel="0" collapsed="false">
      <c r="A9" s="23" t="s">
        <v>517</v>
      </c>
      <c r="B9" s="23" t="s">
        <v>355</v>
      </c>
      <c r="C9" s="23" t="s">
        <v>359</v>
      </c>
      <c r="D9" s="23" t="s">
        <v>518</v>
      </c>
      <c r="E9" s="29"/>
      <c r="F9" s="38"/>
      <c r="G9" s="23" t="str">
        <f aca="true">IF(F9="","",IF(TODAY()-F9&lt;=365,"Yes","No: check another course"))</f>
        <v/>
      </c>
      <c r="H9" s="29"/>
      <c r="I9" s="29"/>
      <c r="J9" s="29" t="s">
        <v>84</v>
      </c>
      <c r="K9" s="23" t="s">
        <v>505</v>
      </c>
    </row>
    <row r="10" customFormat="false" ht="15" hidden="false" customHeight="false" outlineLevel="0" collapsed="false">
      <c r="A10" s="23" t="s">
        <v>519</v>
      </c>
      <c r="B10" s="23" t="s">
        <v>355</v>
      </c>
      <c r="C10" s="23" t="s">
        <v>429</v>
      </c>
      <c r="D10" s="23" t="s">
        <v>520</v>
      </c>
      <c r="E10" s="29"/>
      <c r="F10" s="38"/>
      <c r="G10" s="23" t="str">
        <f aca="true">IF(F10="","",IF(TODAY()-F10&lt;=365,"Yes","No: check another course"))</f>
        <v/>
      </c>
      <c r="H10" s="29"/>
      <c r="I10" s="29"/>
      <c r="J10" s="29" t="s">
        <v>84</v>
      </c>
      <c r="K10" s="23" t="s">
        <v>505</v>
      </c>
    </row>
    <row r="11" customFormat="false" ht="15" hidden="false" customHeight="false" outlineLevel="0" collapsed="false">
      <c r="A11" s="23" t="s">
        <v>521</v>
      </c>
      <c r="B11" s="23" t="s">
        <v>355</v>
      </c>
      <c r="C11" s="23" t="s">
        <v>522</v>
      </c>
      <c r="D11" s="23" t="s">
        <v>523</v>
      </c>
      <c r="E11" s="29"/>
      <c r="F11" s="38"/>
      <c r="G11" s="23" t="str">
        <f aca="true">IF(F11="","",IF(TODAY()-F11&lt;=365,"Yes","No: check another course"))</f>
        <v/>
      </c>
      <c r="H11" s="29"/>
      <c r="I11" s="29"/>
      <c r="J11" s="29" t="s">
        <v>84</v>
      </c>
      <c r="K11" s="23" t="s">
        <v>505</v>
      </c>
    </row>
    <row r="12" customFormat="false" ht="35.05" hidden="false" customHeight="false" outlineLevel="0" collapsed="false">
      <c r="A12" s="23" t="s">
        <v>524</v>
      </c>
      <c r="B12" s="23" t="s">
        <v>355</v>
      </c>
      <c r="C12" s="23" t="s">
        <v>450</v>
      </c>
      <c r="D12" s="23" t="s">
        <v>525</v>
      </c>
      <c r="E12" s="29"/>
      <c r="F12" s="38"/>
      <c r="G12" s="23" t="str">
        <f aca="true">IF(F12="","",IF(TODAY()-F12&lt;=365,"Yes","No: check another course"))</f>
        <v/>
      </c>
      <c r="H12" s="29"/>
      <c r="I12" s="29"/>
      <c r="J12" s="29" t="s">
        <v>84</v>
      </c>
      <c r="K12" s="23" t="s">
        <v>526</v>
      </c>
    </row>
    <row r="13" customFormat="false" ht="15" hidden="false" customHeight="false" outlineLevel="0" collapsed="false">
      <c r="A13" s="23" t="s">
        <v>527</v>
      </c>
      <c r="B13" s="23" t="s">
        <v>355</v>
      </c>
      <c r="C13" s="23" t="s">
        <v>528</v>
      </c>
      <c r="D13" s="23" t="s">
        <v>529</v>
      </c>
      <c r="E13" s="29"/>
      <c r="F13" s="38"/>
      <c r="G13" s="23" t="str">
        <f aca="true">IF(F13="","",IF(TODAY()-F13&lt;=365,"Yes","No: check another course"))</f>
        <v/>
      </c>
      <c r="H13" s="29"/>
      <c r="I13" s="29"/>
      <c r="J13" s="29" t="s">
        <v>84</v>
      </c>
      <c r="K13" s="23" t="s">
        <v>505</v>
      </c>
    </row>
    <row r="15" customFormat="false" ht="15" hidden="false" customHeight="false" outlineLevel="0" collapsed="false">
      <c r="A15" s="2" t="s">
        <v>530</v>
      </c>
    </row>
    <row r="16" customFormat="false" ht="15" hidden="false" customHeight="false" outlineLevel="0" collapsed="false">
      <c r="A16" s="2" t="s">
        <v>531</v>
      </c>
    </row>
  </sheetData>
  <dataValidations count="1">
    <dataValidation allowBlank="false" errorStyle="stop" operator="between" showDropDown="false" showErrorMessage="false" showInputMessage="false" sqref="J2:J13" type="list">
      <formula1>"Not started,In progress,Done,Skipped"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0"/>
    <col collapsed="false" customWidth="true" hidden="false" outlineLevel="0" max="3" min="3" style="0" width="14"/>
    <col collapsed="false" customWidth="true" hidden="false" outlineLevel="0" max="4" min="4" style="0" width="11"/>
    <col collapsed="false" customWidth="true" hidden="false" outlineLevel="0" max="5" min="5" style="0" width="40"/>
    <col collapsed="false" customWidth="true" hidden="false" outlineLevel="0" max="6" min="6" style="0" width="50"/>
    <col collapsed="false" customWidth="true" hidden="false" outlineLevel="0" max="7" min="7" style="0" width="3"/>
    <col collapsed="false" customWidth="true" hidden="false" outlineLevel="0" max="8" min="8" style="0" width="70"/>
  </cols>
  <sheetData>
    <row r="1" customFormat="false" ht="23.85" hidden="false" customHeight="false" outlineLevel="0" collapsed="false">
      <c r="A1" s="11" t="s">
        <v>532</v>
      </c>
      <c r="B1" s="11" t="s">
        <v>533</v>
      </c>
      <c r="C1" s="11" t="s">
        <v>534</v>
      </c>
      <c r="D1" s="11" t="s">
        <v>535</v>
      </c>
      <c r="E1" s="11" t="s">
        <v>536</v>
      </c>
      <c r="F1" s="11" t="s">
        <v>537</v>
      </c>
      <c r="H1" s="3" t="s">
        <v>538</v>
      </c>
    </row>
    <row r="2" customFormat="false" ht="23.85" hidden="false" customHeight="false" outlineLevel="0" collapsed="false">
      <c r="A2" s="29" t="s">
        <v>539</v>
      </c>
      <c r="B2" s="29" t="n">
        <v>1</v>
      </c>
      <c r="C2" s="38" t="n">
        <v>46374</v>
      </c>
      <c r="D2" s="39" t="n">
        <v>0.68</v>
      </c>
      <c r="E2" s="29" t="s">
        <v>540</v>
      </c>
      <c r="F2" s="29" t="s">
        <v>541</v>
      </c>
      <c r="H2" s="2" t="s">
        <v>542</v>
      </c>
    </row>
    <row r="3" customFormat="false" ht="15" hidden="false" customHeight="false" outlineLevel="0" collapsed="false">
      <c r="A3" s="29"/>
      <c r="B3" s="29"/>
      <c r="C3" s="38"/>
      <c r="D3" s="39"/>
      <c r="E3" s="29"/>
      <c r="F3" s="29"/>
      <c r="H3" s="2" t="s">
        <v>543</v>
      </c>
    </row>
    <row r="4" customFormat="false" ht="15" hidden="false" customHeight="false" outlineLevel="0" collapsed="false">
      <c r="A4" s="29"/>
      <c r="B4" s="29"/>
      <c r="C4" s="38"/>
      <c r="D4" s="39"/>
      <c r="E4" s="29"/>
      <c r="F4" s="29"/>
    </row>
    <row r="5" customFormat="false" ht="15" hidden="false" customHeight="false" outlineLevel="0" collapsed="false">
      <c r="A5" s="29"/>
      <c r="B5" s="29"/>
      <c r="C5" s="38"/>
      <c r="D5" s="39"/>
      <c r="E5" s="29"/>
      <c r="F5" s="29"/>
    </row>
    <row r="6" customFormat="false" ht="15" hidden="false" customHeight="false" outlineLevel="0" collapsed="false">
      <c r="A6" s="29"/>
      <c r="B6" s="29"/>
      <c r="C6" s="38"/>
      <c r="D6" s="39"/>
      <c r="E6" s="29"/>
      <c r="F6" s="29"/>
    </row>
    <row r="7" customFormat="false" ht="15" hidden="false" customHeight="false" outlineLevel="0" collapsed="false">
      <c r="A7" s="29"/>
      <c r="B7" s="29"/>
      <c r="C7" s="38"/>
      <c r="D7" s="39"/>
      <c r="E7" s="29"/>
      <c r="F7" s="29"/>
    </row>
    <row r="8" customFormat="false" ht="15" hidden="false" customHeight="false" outlineLevel="0" collapsed="false">
      <c r="A8" s="29"/>
      <c r="B8" s="29"/>
      <c r="C8" s="38"/>
      <c r="D8" s="39"/>
      <c r="E8" s="29"/>
      <c r="F8" s="29"/>
    </row>
    <row r="9" customFormat="false" ht="15" hidden="false" customHeight="false" outlineLevel="0" collapsed="false">
      <c r="A9" s="29"/>
      <c r="B9" s="29"/>
      <c r="C9" s="38"/>
      <c r="D9" s="39"/>
      <c r="E9" s="29"/>
      <c r="F9" s="29"/>
    </row>
    <row r="10" customFormat="false" ht="15" hidden="false" customHeight="false" outlineLevel="0" collapsed="false">
      <c r="A10" s="29"/>
      <c r="B10" s="29"/>
      <c r="C10" s="38"/>
      <c r="D10" s="39"/>
      <c r="E10" s="29"/>
      <c r="F10" s="29"/>
    </row>
    <row r="11" customFormat="false" ht="15" hidden="false" customHeight="false" outlineLevel="0" collapsed="false">
      <c r="A11" s="29"/>
      <c r="B11" s="29"/>
      <c r="C11" s="38"/>
      <c r="D11" s="39"/>
      <c r="E11" s="29"/>
      <c r="F11" s="29"/>
    </row>
    <row r="12" customFormat="false" ht="15" hidden="false" customHeight="false" outlineLevel="0" collapsed="false">
      <c r="A12" s="29"/>
      <c r="B12" s="29"/>
      <c r="C12" s="38"/>
      <c r="D12" s="39"/>
      <c r="E12" s="29"/>
      <c r="F12" s="29"/>
    </row>
    <row r="13" customFormat="false" ht="15" hidden="false" customHeight="false" outlineLevel="0" collapsed="false">
      <c r="A13" s="29"/>
      <c r="B13" s="29"/>
      <c r="C13" s="38"/>
      <c r="D13" s="39"/>
      <c r="E13" s="29"/>
      <c r="F13" s="29"/>
    </row>
    <row r="14" customFormat="false" ht="15" hidden="false" customHeight="false" outlineLevel="0" collapsed="false">
      <c r="A14" s="29"/>
      <c r="B14" s="29"/>
      <c r="C14" s="38"/>
      <c r="D14" s="39"/>
      <c r="E14" s="29"/>
      <c r="F14" s="29"/>
    </row>
    <row r="15" customFormat="false" ht="15" hidden="false" customHeight="false" outlineLevel="0" collapsed="false">
      <c r="A15" s="29"/>
      <c r="B15" s="29"/>
      <c r="C15" s="38"/>
      <c r="D15" s="39"/>
      <c r="E15" s="29"/>
      <c r="F15" s="29"/>
    </row>
    <row r="16" customFormat="false" ht="15" hidden="false" customHeight="false" outlineLevel="0" collapsed="false">
      <c r="A16" s="29"/>
      <c r="B16" s="29"/>
      <c r="C16" s="38"/>
      <c r="D16" s="39"/>
      <c r="E16" s="29"/>
      <c r="F16" s="29"/>
    </row>
    <row r="17" customFormat="false" ht="15" hidden="false" customHeight="false" outlineLevel="0" collapsed="false">
      <c r="A17" s="29"/>
      <c r="B17" s="29"/>
      <c r="C17" s="38"/>
      <c r="D17" s="39"/>
      <c r="E17" s="29"/>
      <c r="F17" s="29"/>
    </row>
    <row r="18" customFormat="false" ht="15" hidden="false" customHeight="false" outlineLevel="0" collapsed="false">
      <c r="A18" s="29"/>
      <c r="B18" s="29"/>
      <c r="C18" s="38"/>
      <c r="D18" s="39"/>
      <c r="E18" s="29"/>
      <c r="F18" s="29"/>
    </row>
    <row r="19" customFormat="false" ht="15" hidden="false" customHeight="false" outlineLevel="0" collapsed="false">
      <c r="A19" s="29"/>
      <c r="B19" s="29"/>
      <c r="C19" s="38"/>
      <c r="D19" s="39"/>
      <c r="E19" s="29"/>
      <c r="F19" s="29"/>
    </row>
    <row r="20" customFormat="false" ht="15" hidden="false" customHeight="false" outlineLevel="0" collapsed="false">
      <c r="A20" s="29"/>
      <c r="B20" s="29"/>
      <c r="C20" s="38"/>
      <c r="D20" s="39"/>
      <c r="E20" s="29"/>
      <c r="F20" s="29"/>
    </row>
    <row r="21" customFormat="false" ht="15" hidden="false" customHeight="false" outlineLevel="0" collapsed="false">
      <c r="A21" s="29"/>
      <c r="B21" s="29"/>
      <c r="C21" s="38"/>
      <c r="D21" s="39"/>
      <c r="E21" s="29"/>
      <c r="F21" s="29"/>
    </row>
    <row r="22" customFormat="false" ht="15" hidden="false" customHeight="false" outlineLevel="0" collapsed="false">
      <c r="A22" s="29"/>
      <c r="B22" s="29"/>
      <c r="C22" s="38"/>
      <c r="D22" s="39"/>
      <c r="E22" s="29"/>
      <c r="F22" s="29"/>
    </row>
    <row r="23" customFormat="false" ht="15" hidden="false" customHeight="false" outlineLevel="0" collapsed="false">
      <c r="A23" s="29"/>
      <c r="B23" s="29"/>
      <c r="C23" s="38"/>
      <c r="D23" s="39"/>
      <c r="E23" s="29"/>
      <c r="F23" s="29"/>
    </row>
    <row r="24" customFormat="false" ht="15" hidden="false" customHeight="false" outlineLevel="0" collapsed="false">
      <c r="A24" s="29"/>
      <c r="B24" s="29"/>
      <c r="C24" s="38"/>
      <c r="D24" s="39"/>
      <c r="E24" s="29"/>
      <c r="F24" s="29"/>
    </row>
    <row r="25" customFormat="false" ht="15" hidden="false" customHeight="false" outlineLevel="0" collapsed="false">
      <c r="A25" s="29"/>
      <c r="B25" s="29"/>
      <c r="C25" s="38"/>
      <c r="D25" s="39"/>
      <c r="E25" s="29"/>
      <c r="F25" s="29"/>
    </row>
    <row r="26" customFormat="false" ht="15" hidden="false" customHeight="false" outlineLevel="0" collapsed="false">
      <c r="A26" s="29"/>
      <c r="B26" s="29"/>
      <c r="C26" s="38"/>
      <c r="D26" s="39"/>
      <c r="E26" s="29"/>
      <c r="F26" s="29"/>
    </row>
    <row r="27" customFormat="false" ht="15" hidden="false" customHeight="false" outlineLevel="0" collapsed="false">
      <c r="A27" s="29"/>
      <c r="B27" s="29"/>
      <c r="C27" s="38"/>
      <c r="D27" s="39"/>
      <c r="E27" s="29"/>
      <c r="F27" s="29"/>
    </row>
    <row r="28" customFormat="false" ht="15" hidden="false" customHeight="false" outlineLevel="0" collapsed="false">
      <c r="A28" s="29"/>
      <c r="B28" s="29"/>
      <c r="C28" s="38"/>
      <c r="D28" s="39"/>
      <c r="E28" s="29"/>
      <c r="F28" s="29"/>
    </row>
    <row r="29" customFormat="false" ht="15" hidden="false" customHeight="false" outlineLevel="0" collapsed="false">
      <c r="A29" s="29"/>
      <c r="B29" s="29"/>
      <c r="C29" s="38"/>
      <c r="D29" s="39"/>
      <c r="E29" s="29"/>
      <c r="F29" s="29"/>
    </row>
    <row r="30" customFormat="false" ht="15" hidden="false" customHeight="false" outlineLevel="0" collapsed="false">
      <c r="A30" s="29"/>
      <c r="B30" s="29"/>
      <c r="C30" s="38"/>
      <c r="D30" s="39"/>
      <c r="E30" s="29"/>
      <c r="F30" s="29"/>
    </row>
    <row r="31" customFormat="false" ht="15" hidden="false" customHeight="false" outlineLevel="0" collapsed="false">
      <c r="A31" s="29"/>
      <c r="B31" s="29"/>
      <c r="C31" s="38"/>
      <c r="D31" s="39"/>
      <c r="E31" s="29"/>
      <c r="F31" s="29"/>
    </row>
    <row r="32" customFormat="false" ht="15" hidden="false" customHeight="false" outlineLevel="0" collapsed="false">
      <c r="A32" s="29"/>
      <c r="B32" s="29"/>
      <c r="C32" s="38"/>
      <c r="D32" s="39"/>
      <c r="E32" s="29"/>
      <c r="F32" s="29"/>
    </row>
    <row r="33" customFormat="false" ht="15" hidden="false" customHeight="false" outlineLevel="0" collapsed="false">
      <c r="A33" s="29"/>
      <c r="B33" s="29"/>
      <c r="C33" s="38"/>
      <c r="D33" s="39"/>
      <c r="E33" s="29"/>
      <c r="F33" s="29"/>
    </row>
    <row r="34" customFormat="false" ht="15" hidden="false" customHeight="false" outlineLevel="0" collapsed="false">
      <c r="A34" s="29"/>
      <c r="B34" s="29"/>
      <c r="C34" s="38"/>
      <c r="D34" s="39"/>
      <c r="E34" s="29"/>
      <c r="F34" s="29"/>
    </row>
    <row r="35" customFormat="false" ht="15" hidden="false" customHeight="false" outlineLevel="0" collapsed="false">
      <c r="A35" s="29"/>
      <c r="B35" s="29"/>
      <c r="C35" s="38"/>
      <c r="D35" s="39"/>
      <c r="E35" s="29"/>
      <c r="F35" s="29"/>
    </row>
    <row r="36" customFormat="false" ht="15" hidden="false" customHeight="false" outlineLevel="0" collapsed="false">
      <c r="A36" s="29"/>
      <c r="B36" s="29"/>
      <c r="C36" s="38"/>
      <c r="D36" s="39"/>
      <c r="E36" s="29"/>
      <c r="F36" s="29"/>
    </row>
    <row r="37" customFormat="false" ht="15" hidden="false" customHeight="false" outlineLevel="0" collapsed="false">
      <c r="A37" s="29"/>
      <c r="B37" s="29"/>
      <c r="C37" s="38"/>
      <c r="D37" s="39"/>
      <c r="E37" s="29"/>
      <c r="F37" s="29"/>
    </row>
    <row r="38" customFormat="false" ht="15" hidden="false" customHeight="false" outlineLevel="0" collapsed="false">
      <c r="A38" s="29"/>
      <c r="B38" s="29"/>
      <c r="C38" s="38"/>
      <c r="D38" s="39"/>
      <c r="E38" s="29"/>
      <c r="F38" s="29"/>
    </row>
    <row r="39" customFormat="false" ht="15" hidden="false" customHeight="false" outlineLevel="0" collapsed="false">
      <c r="A39" s="29"/>
      <c r="B39" s="29"/>
      <c r="C39" s="38"/>
      <c r="D39" s="39"/>
      <c r="E39" s="29"/>
      <c r="F39" s="29"/>
    </row>
    <row r="40" customFormat="false" ht="15" hidden="false" customHeight="false" outlineLevel="0" collapsed="false">
      <c r="A40" s="29"/>
      <c r="B40" s="29"/>
      <c r="C40" s="38"/>
      <c r="D40" s="39"/>
      <c r="E40" s="29"/>
      <c r="F40" s="29"/>
    </row>
    <row r="41" customFormat="false" ht="15" hidden="false" customHeight="false" outlineLevel="0" collapsed="false">
      <c r="A41" s="29"/>
      <c r="B41" s="29"/>
      <c r="C41" s="38"/>
      <c r="D41" s="39"/>
      <c r="E41" s="29"/>
      <c r="F41" s="29"/>
    </row>
  </sheetData>
  <dataValidations count="1">
    <dataValidation allowBlank="false" errorStyle="stop" operator="between" showDropDown="false" showErrorMessage="false" showInputMessage="false" sqref="A3:A41" type="list">
      <formula1>"SnowPro Core,SnowPro Advanced: Architect,Google Professional Data Engineer,CDMP Data Management Fundamentals"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7"/>
    <col collapsed="false" customWidth="true" hidden="false" outlineLevel="0" max="3" min="3" style="0" width="14"/>
    <col collapsed="false" customWidth="true" hidden="false" outlineLevel="0" max="4" min="4" style="0" width="10"/>
    <col collapsed="false" customWidth="true" hidden="false" outlineLevel="0" max="5" min="5" style="0" width="55"/>
    <col collapsed="false" customWidth="true" hidden="false" outlineLevel="0" max="6" min="6" style="0" width="50"/>
    <col collapsed="false" customWidth="true" hidden="false" outlineLevel="0" max="7" min="7" style="0" width="14"/>
    <col collapsed="false" customWidth="true" hidden="false" outlineLevel="0" max="8" min="8" style="0" width="40"/>
  </cols>
  <sheetData>
    <row r="1" customFormat="false" ht="23.85" hidden="false" customHeight="false" outlineLevel="0" collapsed="false">
      <c r="A1" s="11" t="s">
        <v>544</v>
      </c>
      <c r="B1" s="11" t="s">
        <v>99</v>
      </c>
      <c r="C1" s="11" t="s">
        <v>545</v>
      </c>
      <c r="D1" s="11" t="s">
        <v>337</v>
      </c>
      <c r="E1" s="11" t="s">
        <v>546</v>
      </c>
      <c r="F1" s="11" t="s">
        <v>547</v>
      </c>
      <c r="G1" s="11" t="s">
        <v>80</v>
      </c>
      <c r="H1" s="11" t="s">
        <v>548</v>
      </c>
    </row>
    <row r="2" customFormat="false" ht="15" hidden="false" customHeight="false" outlineLevel="0" collapsed="false">
      <c r="A2" s="23" t="s">
        <v>549</v>
      </c>
      <c r="B2" s="23" t="n">
        <v>1</v>
      </c>
      <c r="C2" s="31" t="n">
        <f aca="false">Dashboard!$B$4+B2*7-3</f>
        <v>46318</v>
      </c>
      <c r="D2" s="23" t="s">
        <v>550</v>
      </c>
      <c r="E2" s="23" t="s">
        <v>551</v>
      </c>
      <c r="F2" s="23" t="s">
        <v>552</v>
      </c>
      <c r="G2" s="29" t="s">
        <v>84</v>
      </c>
      <c r="H2" s="29"/>
    </row>
    <row r="3" customFormat="false" ht="15" hidden="false" customHeight="false" outlineLevel="0" collapsed="false">
      <c r="A3" s="23" t="s">
        <v>553</v>
      </c>
      <c r="B3" s="23" t="n">
        <v>1</v>
      </c>
      <c r="C3" s="31" t="n">
        <f aca="false">Dashboard!$B$4+B3*7-3</f>
        <v>46318</v>
      </c>
      <c r="D3" s="23" t="s">
        <v>554</v>
      </c>
      <c r="E3" s="23" t="s">
        <v>555</v>
      </c>
      <c r="F3" s="23" t="s">
        <v>556</v>
      </c>
      <c r="G3" s="29" t="s">
        <v>84</v>
      </c>
      <c r="H3" s="29"/>
    </row>
    <row r="4" customFormat="false" ht="15" hidden="false" customHeight="false" outlineLevel="0" collapsed="false">
      <c r="A4" s="23" t="s">
        <v>557</v>
      </c>
      <c r="B4" s="23" t="n">
        <v>2</v>
      </c>
      <c r="C4" s="31" t="n">
        <f aca="false">Dashboard!$B$4+B4*7-3</f>
        <v>46325</v>
      </c>
      <c r="D4" s="23" t="s">
        <v>558</v>
      </c>
      <c r="E4" s="23" t="s">
        <v>559</v>
      </c>
      <c r="F4" s="23" t="s">
        <v>560</v>
      </c>
      <c r="G4" s="29" t="s">
        <v>84</v>
      </c>
      <c r="H4" s="29"/>
    </row>
    <row r="5" customFormat="false" ht="15" hidden="false" customHeight="false" outlineLevel="0" collapsed="false">
      <c r="A5" s="23" t="s">
        <v>561</v>
      </c>
      <c r="B5" s="23" t="n">
        <v>2</v>
      </c>
      <c r="C5" s="31" t="n">
        <f aca="false">Dashboard!$B$4+B5*7-3</f>
        <v>46325</v>
      </c>
      <c r="D5" s="23" t="s">
        <v>558</v>
      </c>
      <c r="E5" s="23" t="s">
        <v>562</v>
      </c>
      <c r="F5" s="23" t="s">
        <v>563</v>
      </c>
      <c r="G5" s="29" t="s">
        <v>84</v>
      </c>
      <c r="H5" s="29"/>
    </row>
    <row r="6" customFormat="false" ht="15" hidden="false" customHeight="false" outlineLevel="0" collapsed="false">
      <c r="A6" s="23" t="s">
        <v>564</v>
      </c>
      <c r="B6" s="23" t="n">
        <v>3</v>
      </c>
      <c r="C6" s="31" t="n">
        <f aca="false">Dashboard!$B$4+B6*7-3</f>
        <v>46332</v>
      </c>
      <c r="D6" s="23" t="s">
        <v>565</v>
      </c>
      <c r="E6" s="23" t="s">
        <v>566</v>
      </c>
      <c r="F6" s="23" t="s">
        <v>567</v>
      </c>
      <c r="G6" s="29" t="s">
        <v>84</v>
      </c>
      <c r="H6" s="29"/>
    </row>
    <row r="7" customFormat="false" ht="15" hidden="false" customHeight="false" outlineLevel="0" collapsed="false">
      <c r="A7" s="23" t="s">
        <v>568</v>
      </c>
      <c r="B7" s="23" t="n">
        <v>3</v>
      </c>
      <c r="C7" s="31" t="n">
        <f aca="false">Dashboard!$B$4+B7*7-3</f>
        <v>46332</v>
      </c>
      <c r="D7" s="23" t="s">
        <v>569</v>
      </c>
      <c r="E7" s="23" t="s">
        <v>570</v>
      </c>
      <c r="F7" s="23" t="s">
        <v>571</v>
      </c>
      <c r="G7" s="29" t="s">
        <v>84</v>
      </c>
      <c r="H7" s="29"/>
    </row>
    <row r="8" customFormat="false" ht="15" hidden="false" customHeight="false" outlineLevel="0" collapsed="false">
      <c r="A8" s="23" t="s">
        <v>572</v>
      </c>
      <c r="B8" s="23" t="n">
        <v>4</v>
      </c>
      <c r="C8" s="31" t="n">
        <f aca="false">Dashboard!$B$4+B8*7-3</f>
        <v>46339</v>
      </c>
      <c r="D8" s="23" t="s">
        <v>558</v>
      </c>
      <c r="E8" s="23" t="s">
        <v>573</v>
      </c>
      <c r="F8" s="23" t="s">
        <v>574</v>
      </c>
      <c r="G8" s="29" t="s">
        <v>84</v>
      </c>
      <c r="H8" s="29"/>
    </row>
    <row r="9" customFormat="false" ht="15" hidden="false" customHeight="false" outlineLevel="0" collapsed="false">
      <c r="A9" s="23" t="s">
        <v>575</v>
      </c>
      <c r="B9" s="23" t="n">
        <v>4</v>
      </c>
      <c r="C9" s="31" t="n">
        <f aca="false">Dashboard!$B$4+B9*7-3</f>
        <v>46339</v>
      </c>
      <c r="D9" s="23" t="s">
        <v>569</v>
      </c>
      <c r="E9" s="23" t="s">
        <v>576</v>
      </c>
      <c r="F9" s="23" t="s">
        <v>577</v>
      </c>
      <c r="G9" s="29" t="s">
        <v>84</v>
      </c>
      <c r="H9" s="29"/>
    </row>
    <row r="10" customFormat="false" ht="15" hidden="false" customHeight="false" outlineLevel="0" collapsed="false">
      <c r="A10" s="23" t="s">
        <v>160</v>
      </c>
      <c r="B10" s="23" t="n">
        <v>5</v>
      </c>
      <c r="C10" s="31" t="n">
        <f aca="false">Dashboard!$B$4+B10*7-3</f>
        <v>46346</v>
      </c>
      <c r="D10" s="23" t="s">
        <v>558</v>
      </c>
      <c r="E10" s="23" t="s">
        <v>578</v>
      </c>
      <c r="F10" s="23" t="s">
        <v>579</v>
      </c>
      <c r="G10" s="29" t="s">
        <v>84</v>
      </c>
      <c r="H10" s="29"/>
    </row>
    <row r="11" customFormat="false" ht="15" hidden="false" customHeight="false" outlineLevel="0" collapsed="false">
      <c r="A11" s="23" t="s">
        <v>169</v>
      </c>
      <c r="B11" s="23" t="n">
        <v>6</v>
      </c>
      <c r="C11" s="31" t="n">
        <f aca="false">Dashboard!$B$4+B11*7-3</f>
        <v>46353</v>
      </c>
      <c r="D11" s="23" t="s">
        <v>550</v>
      </c>
      <c r="E11" s="23" t="s">
        <v>580</v>
      </c>
      <c r="F11" s="23" t="s">
        <v>581</v>
      </c>
      <c r="G11" s="29" t="s">
        <v>84</v>
      </c>
      <c r="H11" s="29"/>
    </row>
    <row r="12" customFormat="false" ht="15" hidden="false" customHeight="false" outlineLevel="0" collapsed="false">
      <c r="A12" s="23" t="s">
        <v>179</v>
      </c>
      <c r="B12" s="23" t="n">
        <v>7</v>
      </c>
      <c r="C12" s="31" t="n">
        <f aca="false">Dashboard!$B$4+B12*7-3</f>
        <v>46360</v>
      </c>
      <c r="D12" s="23" t="s">
        <v>558</v>
      </c>
      <c r="E12" s="23" t="s">
        <v>582</v>
      </c>
      <c r="F12" s="23" t="s">
        <v>583</v>
      </c>
      <c r="G12" s="29" t="s">
        <v>84</v>
      </c>
      <c r="H12" s="29"/>
    </row>
    <row r="13" customFormat="false" ht="15" hidden="false" customHeight="false" outlineLevel="0" collapsed="false">
      <c r="A13" s="23" t="s">
        <v>205</v>
      </c>
      <c r="B13" s="23" t="n">
        <v>10</v>
      </c>
      <c r="C13" s="31" t="n">
        <f aca="false">Dashboard!$B$4+B13*7-3</f>
        <v>46381</v>
      </c>
      <c r="D13" s="23" t="s">
        <v>550</v>
      </c>
      <c r="E13" s="23" t="s">
        <v>584</v>
      </c>
      <c r="F13" s="23" t="s">
        <v>585</v>
      </c>
      <c r="G13" s="29" t="s">
        <v>84</v>
      </c>
      <c r="H13" s="29"/>
    </row>
    <row r="14" customFormat="false" ht="15" hidden="false" customHeight="false" outlineLevel="0" collapsed="false">
      <c r="A14" s="23" t="s">
        <v>215</v>
      </c>
      <c r="B14" s="23" t="n">
        <v>11</v>
      </c>
      <c r="C14" s="31" t="n">
        <f aca="false">Dashboard!$B$4+B14*7-3</f>
        <v>46388</v>
      </c>
      <c r="D14" s="23" t="s">
        <v>558</v>
      </c>
      <c r="E14" s="23" t="s">
        <v>586</v>
      </c>
      <c r="F14" s="23" t="s">
        <v>587</v>
      </c>
      <c r="G14" s="29" t="s">
        <v>84</v>
      </c>
      <c r="H14" s="29"/>
    </row>
    <row r="15" customFormat="false" ht="15" hidden="false" customHeight="false" outlineLevel="0" collapsed="false">
      <c r="A15" s="23" t="s">
        <v>225</v>
      </c>
      <c r="B15" s="23" t="n">
        <v>12</v>
      </c>
      <c r="C15" s="31" t="n">
        <f aca="false">Dashboard!$B$4+B15*7-3</f>
        <v>46395</v>
      </c>
      <c r="D15" s="23" t="s">
        <v>565</v>
      </c>
      <c r="E15" s="23" t="s">
        <v>588</v>
      </c>
      <c r="F15" s="23" t="s">
        <v>589</v>
      </c>
      <c r="G15" s="29" t="s">
        <v>84</v>
      </c>
      <c r="H15" s="29"/>
    </row>
    <row r="16" customFormat="false" ht="15" hidden="false" customHeight="false" outlineLevel="0" collapsed="false">
      <c r="A16" s="23" t="s">
        <v>236</v>
      </c>
      <c r="B16" s="23" t="n">
        <v>13</v>
      </c>
      <c r="C16" s="31" t="n">
        <f aca="false">Dashboard!$B$4+B16*7-3</f>
        <v>46402</v>
      </c>
      <c r="D16" s="23" t="s">
        <v>558</v>
      </c>
      <c r="E16" s="23" t="s">
        <v>590</v>
      </c>
      <c r="F16" s="23" t="s">
        <v>591</v>
      </c>
      <c r="G16" s="29" t="s">
        <v>84</v>
      </c>
      <c r="H16" s="29"/>
    </row>
    <row r="17" customFormat="false" ht="15" hidden="false" customHeight="false" outlineLevel="0" collapsed="false">
      <c r="A17" s="23" t="s">
        <v>246</v>
      </c>
      <c r="B17" s="23" t="n">
        <v>14</v>
      </c>
      <c r="C17" s="31" t="n">
        <f aca="false">Dashboard!$B$4+B17*7-3</f>
        <v>46409</v>
      </c>
      <c r="D17" s="23" t="s">
        <v>558</v>
      </c>
      <c r="E17" s="23" t="s">
        <v>592</v>
      </c>
      <c r="F17" s="23" t="s">
        <v>593</v>
      </c>
      <c r="G17" s="29" t="s">
        <v>84</v>
      </c>
      <c r="H17" s="29"/>
    </row>
    <row r="18" customFormat="false" ht="15" hidden="false" customHeight="false" outlineLevel="0" collapsed="false">
      <c r="A18" s="23" t="s">
        <v>256</v>
      </c>
      <c r="B18" s="23" t="n">
        <v>15</v>
      </c>
      <c r="C18" s="31" t="n">
        <f aca="false">Dashboard!$B$4+B18*7-3</f>
        <v>46416</v>
      </c>
      <c r="D18" s="23" t="s">
        <v>558</v>
      </c>
      <c r="E18" s="23" t="s">
        <v>594</v>
      </c>
      <c r="F18" s="23" t="s">
        <v>595</v>
      </c>
      <c r="G18" s="29" t="s">
        <v>84</v>
      </c>
      <c r="H18" s="29"/>
    </row>
    <row r="19" customFormat="false" ht="15" hidden="false" customHeight="false" outlineLevel="0" collapsed="false">
      <c r="A19" s="23" t="s">
        <v>264</v>
      </c>
      <c r="B19" s="23" t="n">
        <v>16</v>
      </c>
      <c r="C19" s="31" t="n">
        <f aca="false">Dashboard!$B$4+B19*7-3</f>
        <v>46423</v>
      </c>
      <c r="D19" s="23" t="s">
        <v>550</v>
      </c>
      <c r="E19" s="23" t="s">
        <v>596</v>
      </c>
      <c r="F19" s="23" t="s">
        <v>597</v>
      </c>
      <c r="G19" s="29" t="s">
        <v>84</v>
      </c>
      <c r="H19" s="29"/>
    </row>
    <row r="20" customFormat="false" ht="15" hidden="false" customHeight="false" outlineLevel="0" collapsed="false">
      <c r="A20" s="23" t="s">
        <v>275</v>
      </c>
      <c r="B20" s="23" t="n">
        <v>17</v>
      </c>
      <c r="C20" s="31" t="n">
        <f aca="false">Dashboard!$B$4+B20*7-3</f>
        <v>46430</v>
      </c>
      <c r="D20" s="23" t="s">
        <v>569</v>
      </c>
      <c r="E20" s="23" t="s">
        <v>598</v>
      </c>
      <c r="F20" s="23" t="s">
        <v>599</v>
      </c>
      <c r="G20" s="29" t="s">
        <v>84</v>
      </c>
      <c r="H20" s="29"/>
    </row>
    <row r="21" customFormat="false" ht="15" hidden="false" customHeight="false" outlineLevel="0" collapsed="false">
      <c r="A21" s="23" t="s">
        <v>286</v>
      </c>
      <c r="B21" s="23" t="n">
        <v>18</v>
      </c>
      <c r="C21" s="31" t="n">
        <f aca="false">Dashboard!$B$4+B21*7-3</f>
        <v>46437</v>
      </c>
      <c r="D21" s="23" t="s">
        <v>558</v>
      </c>
      <c r="E21" s="23" t="s">
        <v>600</v>
      </c>
      <c r="F21" s="23" t="s">
        <v>601</v>
      </c>
      <c r="G21" s="29" t="s">
        <v>84</v>
      </c>
      <c r="H21" s="29"/>
    </row>
    <row r="22" customFormat="false" ht="15" hidden="false" customHeight="false" outlineLevel="0" collapsed="false">
      <c r="A22" s="23" t="s">
        <v>297</v>
      </c>
      <c r="B22" s="23" t="n">
        <v>19</v>
      </c>
      <c r="C22" s="31" t="n">
        <f aca="false">Dashboard!$B$4+B22*7-3</f>
        <v>46444</v>
      </c>
      <c r="D22" s="23" t="s">
        <v>558</v>
      </c>
      <c r="E22" s="23" t="s">
        <v>602</v>
      </c>
      <c r="F22" s="23" t="s">
        <v>296</v>
      </c>
      <c r="G22" s="29" t="s">
        <v>84</v>
      </c>
      <c r="H22" s="29"/>
    </row>
    <row r="23" customFormat="false" ht="15" hidden="false" customHeight="false" outlineLevel="0" collapsed="false">
      <c r="A23" s="23" t="s">
        <v>308</v>
      </c>
      <c r="B23" s="23" t="n">
        <v>20</v>
      </c>
      <c r="C23" s="31" t="n">
        <f aca="false">Dashboard!$B$4+B23*7-3</f>
        <v>46451</v>
      </c>
      <c r="D23" s="23" t="s">
        <v>558</v>
      </c>
      <c r="E23" s="23" t="s">
        <v>603</v>
      </c>
      <c r="F23" s="23" t="s">
        <v>604</v>
      </c>
      <c r="G23" s="29" t="s">
        <v>84</v>
      </c>
      <c r="H23" s="29"/>
    </row>
    <row r="24" customFormat="false" ht="15" hidden="false" customHeight="false" outlineLevel="0" collapsed="false">
      <c r="A24" s="23" t="s">
        <v>320</v>
      </c>
      <c r="B24" s="23" t="n">
        <v>21</v>
      </c>
      <c r="C24" s="31" t="n">
        <f aca="false">Dashboard!$B$4+B24*7-3</f>
        <v>46458</v>
      </c>
      <c r="D24" s="23" t="s">
        <v>550</v>
      </c>
      <c r="E24" s="23" t="s">
        <v>605</v>
      </c>
      <c r="F24" s="23" t="s">
        <v>606</v>
      </c>
      <c r="G24" s="29" t="s">
        <v>84</v>
      </c>
      <c r="H24" s="29"/>
    </row>
    <row r="25" customFormat="false" ht="15" hidden="false" customHeight="false" outlineLevel="0" collapsed="false">
      <c r="A25" s="23" t="s">
        <v>607</v>
      </c>
      <c r="B25" s="23" t="n">
        <v>22</v>
      </c>
      <c r="C25" s="31" t="n">
        <f aca="false">Dashboard!$B$4+B25*7-3</f>
        <v>46465</v>
      </c>
      <c r="D25" s="23" t="s">
        <v>565</v>
      </c>
      <c r="E25" s="23" t="s">
        <v>608</v>
      </c>
      <c r="F25" s="23" t="s">
        <v>609</v>
      </c>
      <c r="G25" s="29" t="s">
        <v>84</v>
      </c>
      <c r="H25" s="29"/>
    </row>
    <row r="26" customFormat="false" ht="15" hidden="false" customHeight="false" outlineLevel="0" collapsed="false">
      <c r="A26" s="23" t="s">
        <v>610</v>
      </c>
      <c r="B26" s="23" t="n">
        <v>22</v>
      </c>
      <c r="C26" s="31" t="n">
        <f aca="false">Dashboard!$B$4+B26*7-3</f>
        <v>46465</v>
      </c>
      <c r="D26" s="23" t="s">
        <v>550</v>
      </c>
      <c r="E26" s="23" t="s">
        <v>611</v>
      </c>
      <c r="F26" s="23" t="s">
        <v>612</v>
      </c>
      <c r="G26" s="29" t="s">
        <v>84</v>
      </c>
      <c r="H26" s="29"/>
    </row>
    <row r="27" customFormat="false" ht="15" hidden="false" customHeight="false" outlineLevel="0" collapsed="false">
      <c r="A27" s="23" t="s">
        <v>613</v>
      </c>
      <c r="B27" s="23" t="n">
        <v>22</v>
      </c>
      <c r="C27" s="31" t="n">
        <f aca="false">Dashboard!$B$4+B27*7-3</f>
        <v>46465</v>
      </c>
      <c r="D27" s="23" t="s">
        <v>614</v>
      </c>
      <c r="E27" s="23" t="s">
        <v>615</v>
      </c>
      <c r="F27" s="23" t="s">
        <v>616</v>
      </c>
      <c r="G27" s="29" t="s">
        <v>84</v>
      </c>
      <c r="H27" s="29"/>
    </row>
    <row r="28" customFormat="false" ht="15" hidden="false" customHeight="false" outlineLevel="0" collapsed="false">
      <c r="A28" s="23" t="s">
        <v>617</v>
      </c>
      <c r="B28" s="23" t="n">
        <v>23</v>
      </c>
      <c r="C28" s="31" t="n">
        <f aca="false">Dashboard!$B$4+B28*7-3</f>
        <v>46472</v>
      </c>
      <c r="D28" s="23" t="s">
        <v>550</v>
      </c>
      <c r="E28" s="23" t="s">
        <v>618</v>
      </c>
      <c r="F28" s="23" t="s">
        <v>619</v>
      </c>
      <c r="G28" s="29" t="s">
        <v>84</v>
      </c>
      <c r="H28" s="29"/>
    </row>
    <row r="29" customFormat="false" ht="15" hidden="false" customHeight="false" outlineLevel="0" collapsed="false">
      <c r="A29" s="23" t="s">
        <v>620</v>
      </c>
      <c r="B29" s="23" t="n">
        <v>23</v>
      </c>
      <c r="C29" s="31" t="n">
        <f aca="false">Dashboard!$B$4+B29*7-3</f>
        <v>46472</v>
      </c>
      <c r="D29" s="23" t="s">
        <v>621</v>
      </c>
      <c r="E29" s="23" t="s">
        <v>622</v>
      </c>
      <c r="F29" s="23" t="s">
        <v>623</v>
      </c>
      <c r="G29" s="29" t="s">
        <v>84</v>
      </c>
      <c r="H29" s="29"/>
    </row>
    <row r="30" customFormat="false" ht="23.85" hidden="false" customHeight="false" outlineLevel="0" collapsed="false">
      <c r="A30" s="23" t="s">
        <v>188</v>
      </c>
      <c r="B30" s="23" t="n">
        <v>8</v>
      </c>
      <c r="C30" s="31" t="n">
        <f aca="false">Dashboard!$B$4+B30*7-3</f>
        <v>46367</v>
      </c>
      <c r="D30" s="23" t="s">
        <v>558</v>
      </c>
      <c r="E30" s="23" t="s">
        <v>624</v>
      </c>
      <c r="F30" s="23" t="s">
        <v>625</v>
      </c>
      <c r="G30" s="29" t="s">
        <v>84</v>
      </c>
      <c r="H30" s="29"/>
    </row>
    <row r="31" customFormat="false" ht="15" hidden="false" customHeight="false" outlineLevel="0" collapsed="false">
      <c r="A31" s="23" t="s">
        <v>197</v>
      </c>
      <c r="B31" s="23" t="n">
        <v>9</v>
      </c>
      <c r="C31" s="31" t="n">
        <f aca="false">Dashboard!$B$4+B31*7-3</f>
        <v>46374</v>
      </c>
      <c r="D31" s="23" t="s">
        <v>550</v>
      </c>
      <c r="E31" s="23" t="s">
        <v>626</v>
      </c>
      <c r="F31" s="23" t="s">
        <v>627</v>
      </c>
      <c r="G31" s="29" t="s">
        <v>84</v>
      </c>
      <c r="H31" s="29"/>
    </row>
  </sheetData>
  <conditionalFormatting sqref="G2:G29">
    <cfRule type="cellIs" priority="2" operator="equal" aboveAverage="0" equalAverage="0" bottom="0" percent="0" rank="0" text="" dxfId="0">
      <formula>"Done"</formula>
    </cfRule>
    <cfRule type="cellIs" priority="3" operator="equal" aboveAverage="0" equalAverage="0" bottom="0" percent="0" rank="0" text="" dxfId="1">
      <formula>"In progress"</formula>
    </cfRule>
  </conditionalFormatting>
  <conditionalFormatting sqref="G30:G31">
    <cfRule type="cellIs" priority="4" operator="equal" aboveAverage="0" equalAverage="0" bottom="0" percent="0" rank="0" text="" dxfId="0">
      <formula>"Done"</formula>
    </cfRule>
    <cfRule type="cellIs" priority="5" operator="equal" aboveAverage="0" equalAverage="0" bottom="0" percent="0" rank="0" text="" dxfId="1">
      <formula>"In progress"</formula>
    </cfRule>
  </conditionalFormatting>
  <dataValidations count="2">
    <dataValidation allowBlank="false" errorStyle="stop" operator="between" showDropDown="false" showErrorMessage="false" showInputMessage="false" sqref="G2:G29" type="list">
      <formula1>"Not started,In progress,Done"</formula1>
      <formula2>0</formula2>
    </dataValidation>
    <dataValidation allowBlank="false" errorStyle="stop" operator="between" showDropDown="false" showErrorMessage="false" showInputMessage="false" sqref="G30:G31" type="list">
      <formula1>"Not started,In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20"/>
    <col collapsed="false" customWidth="true" hidden="false" outlineLevel="0" max="4" min="4" style="0" width="22"/>
    <col collapsed="false" customWidth="true" hidden="false" outlineLevel="0" max="5" min="5" style="0" width="14"/>
    <col collapsed="false" customWidth="true" hidden="false" outlineLevel="0" max="6" min="6" style="0" width="55"/>
    <col collapsed="false" customWidth="true" hidden="false" outlineLevel="0" max="7" min="7" style="0" width="20"/>
  </cols>
  <sheetData>
    <row r="1" customFormat="false" ht="42" hidden="false" customHeight="true" outlineLevel="0" collapsed="false">
      <c r="A1" s="11" t="s">
        <v>628</v>
      </c>
      <c r="B1" s="11" t="s">
        <v>629</v>
      </c>
      <c r="C1" s="11" t="s">
        <v>630</v>
      </c>
      <c r="D1" s="11" t="s">
        <v>631</v>
      </c>
      <c r="E1" s="11" t="s">
        <v>80</v>
      </c>
      <c r="F1" s="11" t="s">
        <v>377</v>
      </c>
      <c r="G1" s="11" t="s">
        <v>632</v>
      </c>
    </row>
    <row r="2" customFormat="false" ht="15" hidden="false" customHeight="false" outlineLevel="0" collapsed="false">
      <c r="A2" s="23" t="s">
        <v>35</v>
      </c>
      <c r="B2" s="23" t="n">
        <v>12</v>
      </c>
      <c r="C2" s="31" t="n">
        <f aca="false">Dashboard!$B$4+B2*7-3</f>
        <v>46395</v>
      </c>
      <c r="D2" s="29"/>
      <c r="E2" s="29" t="s">
        <v>84</v>
      </c>
      <c r="F2" s="28" t="s">
        <v>228</v>
      </c>
      <c r="G2" s="40" t="n">
        <f aca="false">Dashboard!$B$4+(7-1)*7</f>
        <v>46356</v>
      </c>
    </row>
    <row r="3" customFormat="false" ht="15" hidden="false" customHeight="false" outlineLevel="0" collapsed="false">
      <c r="A3" s="23" t="s">
        <v>36</v>
      </c>
      <c r="B3" s="23" t="n">
        <v>17</v>
      </c>
      <c r="C3" s="31" t="n">
        <f aca="false">Dashboard!$B$4+B3*7-3</f>
        <v>46430</v>
      </c>
      <c r="D3" s="29"/>
      <c r="E3" s="29" t="s">
        <v>84</v>
      </c>
      <c r="F3" s="28" t="s">
        <v>240</v>
      </c>
      <c r="G3" s="40" t="n">
        <f aca="false">Dashboard!$B$4+(13-1)*7</f>
        <v>46398</v>
      </c>
    </row>
    <row r="4" customFormat="false" ht="15" hidden="false" customHeight="false" outlineLevel="0" collapsed="false">
      <c r="A4" s="23" t="s">
        <v>37</v>
      </c>
      <c r="B4" s="23" t="n">
        <v>21</v>
      </c>
      <c r="C4" s="31" t="n">
        <f aca="false">Dashboard!$B$4+B4*7-3</f>
        <v>46458</v>
      </c>
      <c r="D4" s="29"/>
      <c r="E4" s="29" t="s">
        <v>84</v>
      </c>
      <c r="F4" s="28" t="s">
        <v>301</v>
      </c>
      <c r="G4" s="40" t="n">
        <f aca="false">Dashboard!$B$4+(18-1)*7</f>
        <v>46433</v>
      </c>
    </row>
    <row r="5" customFormat="false" ht="23.85" hidden="false" customHeight="false" outlineLevel="0" collapsed="false">
      <c r="A5" s="23" t="s">
        <v>633</v>
      </c>
      <c r="B5" s="23" t="n">
        <v>6</v>
      </c>
      <c r="C5" s="31" t="n">
        <f aca="false">Dashboard!$B$4+B5*7-3</f>
        <v>46353</v>
      </c>
      <c r="D5" s="29"/>
      <c r="E5" s="29" t="s">
        <v>84</v>
      </c>
      <c r="F5" s="28" t="s">
        <v>228</v>
      </c>
      <c r="G5" s="40" t="n">
        <f aca="false">Dashboard!$B$4+(3-1)*7</f>
        <v>46328</v>
      </c>
    </row>
    <row r="6" customFormat="false" ht="15" hidden="false" customHeight="false" outlineLevel="0" collapsed="false">
      <c r="A6" s="2" t="s">
        <v>634</v>
      </c>
    </row>
  </sheetData>
  <dataValidations count="2">
    <dataValidation allowBlank="false" errorStyle="stop" operator="between" showDropDown="false" showErrorMessage="false" showInputMessage="false" sqref="E2:E4" type="list">
      <formula1>"Not started,Studying,Booked,Passed"</formula1>
      <formula2>0</formula2>
    </dataValidation>
    <dataValidation allowBlank="false" errorStyle="stop" operator="between" showDropDown="false" showErrorMessage="false" showInputMessage="false" sqref="E5" type="list">
      <formula1>"Not started,Studying,Booked,Passed"</formula1>
      <formula2>0</formula2>
    </dataValidation>
  </dataValidations>
  <hyperlinks>
    <hyperlink ref="F2" r:id="rId1" display="https://learn.snowflake.com"/>
    <hyperlink ref="F3" r:id="rId2" display="https://cloud.google.com/learn/certification/data-engineer"/>
    <hyperlink ref="F4" r:id="rId3" display="https://cdmp.info"/>
    <hyperlink ref="F5" r:id="rId4" display="https://learn.snowflake.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4" min="3" style="0" width="14"/>
    <col collapsed="false" customWidth="true" hidden="false" outlineLevel="0" max="5" min="5" style="0" width="12"/>
    <col collapsed="false" customWidth="true" hidden="false" outlineLevel="0" max="6" min="6" style="0" width="50"/>
    <col collapsed="false" customWidth="true" hidden="false" outlineLevel="0" max="7" min="7" style="0" width="3"/>
    <col collapsed="false" customWidth="true" hidden="false" outlineLevel="0" max="8" min="8" style="0" width="48"/>
  </cols>
  <sheetData>
    <row r="1" customFormat="false" ht="23.85" hidden="false" customHeight="false" outlineLevel="0" collapsed="false">
      <c r="A1" s="11" t="s">
        <v>635</v>
      </c>
      <c r="B1" s="11" t="s">
        <v>636</v>
      </c>
      <c r="C1" s="11" t="s">
        <v>637</v>
      </c>
      <c r="D1" s="11" t="s">
        <v>638</v>
      </c>
      <c r="E1" s="11" t="s">
        <v>80</v>
      </c>
      <c r="F1" s="11" t="s">
        <v>639</v>
      </c>
      <c r="H1" s="3" t="s">
        <v>640</v>
      </c>
    </row>
    <row r="2" customFormat="false" ht="15" hidden="false" customHeight="false" outlineLevel="0" collapsed="false">
      <c r="A2" s="29" t="s">
        <v>641</v>
      </c>
      <c r="B2" s="29" t="s">
        <v>642</v>
      </c>
      <c r="C2" s="38" t="n">
        <v>46370</v>
      </c>
      <c r="D2" s="29" t="s">
        <v>643</v>
      </c>
      <c r="E2" s="29" t="s">
        <v>644</v>
      </c>
      <c r="F2" s="29" t="s">
        <v>645</v>
      </c>
      <c r="H2" s="6" t="s">
        <v>646</v>
      </c>
    </row>
    <row r="3" customFormat="false" ht="15" hidden="false" customHeight="false" outlineLevel="0" collapsed="false">
      <c r="A3" s="29"/>
      <c r="B3" s="29"/>
      <c r="C3" s="38"/>
      <c r="D3" s="29"/>
      <c r="E3" s="29"/>
      <c r="F3" s="29"/>
      <c r="H3" s="6" t="s">
        <v>642</v>
      </c>
    </row>
    <row r="4" customFormat="false" ht="15" hidden="false" customHeight="false" outlineLevel="0" collapsed="false">
      <c r="A4" s="29"/>
      <c r="B4" s="29"/>
      <c r="C4" s="38"/>
      <c r="D4" s="29"/>
      <c r="E4" s="29"/>
      <c r="F4" s="29"/>
      <c r="H4" s="6" t="s">
        <v>647</v>
      </c>
    </row>
    <row r="5" customFormat="false" ht="15" hidden="false" customHeight="false" outlineLevel="0" collapsed="false">
      <c r="A5" s="29"/>
      <c r="B5" s="29"/>
      <c r="C5" s="38"/>
      <c r="D5" s="29"/>
      <c r="E5" s="29"/>
      <c r="F5" s="29"/>
      <c r="H5" s="6" t="s">
        <v>648</v>
      </c>
    </row>
    <row r="6" customFormat="false" ht="15" hidden="false" customHeight="false" outlineLevel="0" collapsed="false">
      <c r="A6" s="29"/>
      <c r="B6" s="29"/>
      <c r="C6" s="38"/>
      <c r="D6" s="29"/>
      <c r="E6" s="29"/>
      <c r="F6" s="29"/>
      <c r="H6" s="6" t="s">
        <v>649</v>
      </c>
    </row>
    <row r="7" customFormat="false" ht="15" hidden="false" customHeight="false" outlineLevel="0" collapsed="false">
      <c r="A7" s="29"/>
      <c r="B7" s="29"/>
      <c r="C7" s="38"/>
      <c r="D7" s="29"/>
      <c r="E7" s="29"/>
      <c r="F7" s="29"/>
      <c r="H7" s="6" t="s">
        <v>650</v>
      </c>
    </row>
    <row r="8" customFormat="false" ht="15" hidden="false" customHeight="false" outlineLevel="0" collapsed="false">
      <c r="A8" s="29"/>
      <c r="B8" s="29"/>
      <c r="C8" s="38"/>
      <c r="D8" s="29"/>
      <c r="E8" s="29"/>
      <c r="F8" s="29"/>
    </row>
    <row r="9" customFormat="false" ht="15" hidden="false" customHeight="false" outlineLevel="0" collapsed="false">
      <c r="A9" s="29"/>
      <c r="B9" s="29"/>
      <c r="C9" s="38"/>
      <c r="D9" s="29"/>
      <c r="E9" s="29"/>
      <c r="F9" s="29"/>
      <c r="H9" s="2" t="s">
        <v>651</v>
      </c>
    </row>
    <row r="10" customFormat="false" ht="15" hidden="false" customHeight="false" outlineLevel="0" collapsed="false">
      <c r="A10" s="29"/>
      <c r="B10" s="29"/>
      <c r="C10" s="38"/>
      <c r="D10" s="29"/>
      <c r="E10" s="29"/>
      <c r="F10" s="29"/>
    </row>
    <row r="11" customFormat="false" ht="15" hidden="false" customHeight="false" outlineLevel="0" collapsed="false">
      <c r="A11" s="29"/>
      <c r="B11" s="29"/>
      <c r="C11" s="38"/>
      <c r="D11" s="29"/>
      <c r="E11" s="29"/>
      <c r="F11" s="29"/>
    </row>
    <row r="12" customFormat="false" ht="15" hidden="false" customHeight="false" outlineLevel="0" collapsed="false">
      <c r="A12" s="29"/>
      <c r="B12" s="29"/>
      <c r="C12" s="38"/>
      <c r="D12" s="29"/>
      <c r="E12" s="29"/>
      <c r="F12" s="29"/>
    </row>
    <row r="13" customFormat="false" ht="15" hidden="false" customHeight="false" outlineLevel="0" collapsed="false">
      <c r="A13" s="29"/>
      <c r="B13" s="29"/>
      <c r="C13" s="38"/>
      <c r="D13" s="29"/>
      <c r="E13" s="29"/>
      <c r="F13" s="29"/>
    </row>
    <row r="14" customFormat="false" ht="15" hidden="false" customHeight="false" outlineLevel="0" collapsed="false">
      <c r="A14" s="29"/>
      <c r="B14" s="29"/>
      <c r="C14" s="38"/>
      <c r="D14" s="29"/>
      <c r="E14" s="29"/>
      <c r="F14" s="29"/>
    </row>
    <row r="15" customFormat="false" ht="15" hidden="false" customHeight="false" outlineLevel="0" collapsed="false">
      <c r="A15" s="29"/>
      <c r="B15" s="29"/>
      <c r="C15" s="38"/>
      <c r="D15" s="29"/>
      <c r="E15" s="29"/>
      <c r="F15" s="29"/>
    </row>
    <row r="16" customFormat="false" ht="15" hidden="false" customHeight="false" outlineLevel="0" collapsed="false">
      <c r="A16" s="29"/>
      <c r="B16" s="29"/>
      <c r="C16" s="38"/>
      <c r="D16" s="29"/>
      <c r="E16" s="29"/>
      <c r="F16" s="29"/>
    </row>
    <row r="17" customFormat="false" ht="15" hidden="false" customHeight="false" outlineLevel="0" collapsed="false">
      <c r="A17" s="29"/>
      <c r="B17" s="29"/>
      <c r="C17" s="38"/>
      <c r="D17" s="29"/>
      <c r="E17" s="29"/>
      <c r="F17" s="29"/>
    </row>
    <row r="18" customFormat="false" ht="15" hidden="false" customHeight="false" outlineLevel="0" collapsed="false">
      <c r="A18" s="29"/>
      <c r="B18" s="29"/>
      <c r="C18" s="38"/>
      <c r="D18" s="29"/>
      <c r="E18" s="29"/>
      <c r="F18" s="29"/>
    </row>
    <row r="19" customFormat="false" ht="15" hidden="false" customHeight="false" outlineLevel="0" collapsed="false">
      <c r="A19" s="29"/>
      <c r="B19" s="29"/>
      <c r="C19" s="38"/>
      <c r="D19" s="29"/>
      <c r="E19" s="29"/>
      <c r="F19" s="29"/>
    </row>
    <row r="20" customFormat="false" ht="15" hidden="false" customHeight="false" outlineLevel="0" collapsed="false">
      <c r="A20" s="29"/>
      <c r="B20" s="29"/>
      <c r="C20" s="38"/>
      <c r="D20" s="29"/>
      <c r="E20" s="29"/>
      <c r="F20" s="29"/>
    </row>
    <row r="21" customFormat="false" ht="15" hidden="false" customHeight="false" outlineLevel="0" collapsed="false">
      <c r="A21" s="29"/>
      <c r="B21" s="29"/>
      <c r="C21" s="38"/>
      <c r="D21" s="29"/>
      <c r="E21" s="29"/>
      <c r="F21" s="29"/>
    </row>
    <row r="22" customFormat="false" ht="15" hidden="false" customHeight="false" outlineLevel="0" collapsed="false">
      <c r="A22" s="29"/>
      <c r="B22" s="29"/>
      <c r="C22" s="38"/>
      <c r="D22" s="29"/>
      <c r="E22" s="29"/>
      <c r="F22" s="29"/>
    </row>
    <row r="23" customFormat="false" ht="15" hidden="false" customHeight="false" outlineLevel="0" collapsed="false">
      <c r="A23" s="29"/>
      <c r="B23" s="29"/>
      <c r="C23" s="38"/>
      <c r="D23" s="29"/>
      <c r="E23" s="29"/>
      <c r="F23" s="29"/>
    </row>
    <row r="24" customFormat="false" ht="15" hidden="false" customHeight="false" outlineLevel="0" collapsed="false">
      <c r="A24" s="29"/>
      <c r="B24" s="29"/>
      <c r="C24" s="38"/>
      <c r="D24" s="29"/>
      <c r="E24" s="29"/>
      <c r="F24" s="29"/>
    </row>
    <row r="25" customFormat="false" ht="15" hidden="false" customHeight="false" outlineLevel="0" collapsed="false">
      <c r="A25" s="29"/>
      <c r="B25" s="29"/>
      <c r="C25" s="38"/>
      <c r="D25" s="29"/>
      <c r="E25" s="29"/>
      <c r="F25" s="29"/>
    </row>
    <row r="26" customFormat="false" ht="15" hidden="false" customHeight="false" outlineLevel="0" collapsed="false">
      <c r="A26" s="29"/>
      <c r="B26" s="29"/>
      <c r="C26" s="38"/>
      <c r="D26" s="29"/>
      <c r="E26" s="29"/>
      <c r="F26" s="29"/>
    </row>
    <row r="27" customFormat="false" ht="15" hidden="false" customHeight="false" outlineLevel="0" collapsed="false">
      <c r="A27" s="29"/>
      <c r="B27" s="29"/>
      <c r="C27" s="38"/>
      <c r="D27" s="29"/>
      <c r="E27" s="29"/>
      <c r="F27" s="29"/>
    </row>
    <row r="28" customFormat="false" ht="15" hidden="false" customHeight="false" outlineLevel="0" collapsed="false">
      <c r="A28" s="29"/>
      <c r="B28" s="29"/>
      <c r="C28" s="38"/>
      <c r="D28" s="29"/>
      <c r="E28" s="29"/>
      <c r="F28" s="29"/>
    </row>
    <row r="29" customFormat="false" ht="15" hidden="false" customHeight="false" outlineLevel="0" collapsed="false">
      <c r="A29" s="29"/>
      <c r="B29" s="29"/>
      <c r="C29" s="38"/>
      <c r="D29" s="29"/>
      <c r="E29" s="29"/>
      <c r="F29" s="29"/>
    </row>
    <row r="30" customFormat="false" ht="15" hidden="false" customHeight="false" outlineLevel="0" collapsed="false">
      <c r="A30" s="29"/>
      <c r="B30" s="29"/>
      <c r="C30" s="38"/>
      <c r="D30" s="29"/>
      <c r="E30" s="29"/>
      <c r="F30" s="29"/>
    </row>
    <row r="31" customFormat="false" ht="15" hidden="false" customHeight="false" outlineLevel="0" collapsed="false">
      <c r="A31" s="29"/>
      <c r="B31" s="29"/>
      <c r="C31" s="38"/>
      <c r="D31" s="29"/>
      <c r="E31" s="29"/>
      <c r="F31" s="29"/>
    </row>
  </sheetData>
  <dataValidations count="1">
    <dataValidation allowBlank="false" errorStyle="stop" operator="between" showDropDown="false" showErrorMessage="false" showInputMessage="false" sqref="E2:E31" type="list">
      <formula1>"Example,Applied,Interview,Offer,Rejected"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2026-10-17T21:33:03Z</dcterms:created>
  <dc:creator>openpyxl</dc:creator>
  <dc:description/>
  <dc:language>en-US</dc:language>
  <cp:lastModifiedBy/>
  <dcterms:modified xsi:type="dcterms:W3CDTF">2026-10-17T21:33:03Z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